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f01953baf6c2ab2/Documentos/R/R_projects/economia_no_quarto/APP/posts/Diferenças-em-diferenças/"/>
    </mc:Choice>
  </mc:AlternateContent>
  <xr:revisionPtr revIDLastSave="314" documentId="13_ncr:1_{C3A86AAE-BC67-4D89-A4E7-19F44067EA17}" xr6:coauthVersionLast="47" xr6:coauthVersionMax="47" xr10:uidLastSave="{683500D4-F214-4F8A-B447-BD52BB91C83B}"/>
  <bookViews>
    <workbookView minimized="1" xWindow="5115" yWindow="3075" windowWidth="15375" windowHeight="7725" activeTab="1" xr2:uid="{00000000-000D-0000-FFFF-FFFF00000000}"/>
  </bookViews>
  <sheets>
    <sheet name="DDD" sheetId="3" r:id="rId1"/>
    <sheet name="DD" sheetId="5" r:id="rId2"/>
    <sheet name="dados" sheetId="1" r:id="rId3"/>
    <sheet name="resumo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2" i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2" i="1"/>
  <c r="C9" i="2"/>
  <c r="D9" i="2"/>
  <c r="D8" i="2"/>
  <c r="C8" i="2"/>
  <c r="D3" i="2"/>
  <c r="C3" i="2"/>
  <c r="D2" i="2"/>
  <c r="C2" i="2"/>
  <c r="E5" i="2" l="1"/>
  <c r="E11" i="2"/>
  <c r="E13" i="2" l="1"/>
</calcChain>
</file>

<file path=xl/sharedStrings.xml><?xml version="1.0" encoding="utf-8"?>
<sst xmlns="http://schemas.openxmlformats.org/spreadsheetml/2006/main" count="238" uniqueCount="61">
  <si>
    <t>ID</t>
  </si>
  <si>
    <t>Estado</t>
  </si>
  <si>
    <t>Periodo</t>
  </si>
  <si>
    <t>Grupo</t>
  </si>
  <si>
    <t>Y</t>
  </si>
  <si>
    <t>Tratado</t>
  </si>
  <si>
    <t>Controle</t>
  </si>
  <si>
    <t>Antes</t>
  </si>
  <si>
    <t>Depois</t>
  </si>
  <si>
    <t>Alvo</t>
  </si>
  <si>
    <t>Médias por combinação — Grupo: Alvo</t>
  </si>
  <si>
    <t>DID (Alvo)</t>
  </si>
  <si>
    <t>DID (Comparação)</t>
  </si>
  <si>
    <t>TRIPLE DIFFERENCE (DDD)</t>
  </si>
  <si>
    <t>Notas</t>
  </si>
  <si>
    <t>Cada célula é a média de Y para a combinação indicada.</t>
  </si>
  <si>
    <t>[(Tratado,Depois − Tratado,Antes) − (Controle,Depois − Controle,Antes)] para Grupo=Alvo</t>
  </si>
  <si>
    <t>Mesmo cálculo, mas para Grupo=Comparação</t>
  </si>
  <si>
    <t>DDD = DID(Alvo) − DID(Comparação).</t>
  </si>
  <si>
    <t>Simples</t>
  </si>
  <si>
    <t>Médias por combinação — Grupo: Comparação (simples)</t>
  </si>
  <si>
    <t>Tempo</t>
  </si>
  <si>
    <t>T</t>
  </si>
  <si>
    <t>P</t>
  </si>
  <si>
    <t>S</t>
  </si>
  <si>
    <t>TxP</t>
  </si>
  <si>
    <t>TxS</t>
  </si>
  <si>
    <t>PxS</t>
  </si>
  <si>
    <t>TxPxS</t>
  </si>
  <si>
    <t>RESUMO DOS RESULTADOS</t>
  </si>
  <si>
    <t>Estatística de regressão</t>
  </si>
  <si>
    <t>R múltiplo</t>
  </si>
  <si>
    <t>R-Quadrado</t>
  </si>
  <si>
    <t>R-quadrado ajustado</t>
  </si>
  <si>
    <t>Erro padrão</t>
  </si>
  <si>
    <t>Observações</t>
  </si>
  <si>
    <t>ANOVA</t>
  </si>
  <si>
    <t>Regressão</t>
  </si>
  <si>
    <t>Resíduo</t>
  </si>
  <si>
    <t>Total</t>
  </si>
  <si>
    <t>Interseção</t>
  </si>
  <si>
    <t>gl</t>
  </si>
  <si>
    <t>SQ</t>
  </si>
  <si>
    <t>MQ</t>
  </si>
  <si>
    <t>F</t>
  </si>
  <si>
    <t>F de significação</t>
  </si>
  <si>
    <t>Coeficientes</t>
  </si>
  <si>
    <t>Stat t</t>
  </si>
  <si>
    <t>valor-P</t>
  </si>
  <si>
    <t>95% inferiores</t>
  </si>
  <si>
    <t>95% superiores</t>
  </si>
  <si>
    <t>Inferior 95,0%</t>
  </si>
  <si>
    <t>Superior 95,0%</t>
  </si>
  <si>
    <t>Variável X 1</t>
  </si>
  <si>
    <t>Variável X 2</t>
  </si>
  <si>
    <t>Variável X 3</t>
  </si>
  <si>
    <t>Variável X 4</t>
  </si>
  <si>
    <t>Variável X 5</t>
  </si>
  <si>
    <t>Variável X 6</t>
  </si>
  <si>
    <t>Variável X 7</t>
  </si>
  <si>
    <t>PxTxS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</si>
</sst>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/>
    <xf numFmtId="2" fontId="0" fillId="0" borderId="0" xfId="0" applyNumberFormat="1"/>
    <xf numFmtId="0" fontId="1" fillId="0" borderId="0" xfId="0" applyFont="1"/>
    <xf numFmtId="0" fontId="1" fillId="0" borderId="2" xfId="0" applyFont="1" applyFill="1" applyBorder="1" applyAlignment="1">
      <alignment horizontal="center" vertical="top"/>
    </xf>
    <xf numFmtId="0" fontId="0" fillId="0" borderId="0" xfId="0" applyFill="1" applyBorder="1" applyAlignment="1"/>
    <xf numFmtId="0" fontId="0" fillId="0" borderId="3" xfId="0" applyFill="1" applyBorder="1" applyAlignment="1"/>
    <xf numFmtId="0" fontId="2" fillId="0" borderId="4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24EAC-5BD4-4FA0-9D4D-9481CC97883D}">
  <dimension ref="A1:I24"/>
  <sheetViews>
    <sheetView topLeftCell="A13" workbookViewId="0">
      <selection activeCell="B24" sqref="B24"/>
    </sheetView>
  </sheetViews>
  <sheetFormatPr defaultRowHeight="15" x14ac:dyDescent="0.25"/>
  <sheetData>
    <row r="1" spans="1:9" x14ac:dyDescent="0.25">
      <c r="A1" t="s">
        <v>29</v>
      </c>
    </row>
    <row r="2" spans="1:9" ht="15.75" thickBot="1" x14ac:dyDescent="0.3"/>
    <row r="3" spans="1:9" x14ac:dyDescent="0.25">
      <c r="A3" s="9" t="s">
        <v>30</v>
      </c>
      <c r="B3" s="9"/>
    </row>
    <row r="4" spans="1:9" x14ac:dyDescent="0.25">
      <c r="A4" s="6" t="s">
        <v>31</v>
      </c>
      <c r="B4" s="6">
        <v>0.96848602046582144</v>
      </c>
    </row>
    <row r="5" spans="1:9" x14ac:dyDescent="0.25">
      <c r="A5" s="6" t="s">
        <v>32</v>
      </c>
      <c r="B5" s="6">
        <v>0.93796517183772354</v>
      </c>
    </row>
    <row r="6" spans="1:9" x14ac:dyDescent="0.25">
      <c r="A6" s="6" t="s">
        <v>33</v>
      </c>
      <c r="B6" s="6">
        <v>0.9271090769093252</v>
      </c>
    </row>
    <row r="7" spans="1:9" x14ac:dyDescent="0.25">
      <c r="A7" s="6" t="s">
        <v>34</v>
      </c>
      <c r="B7" s="6">
        <v>0.92570131521997856</v>
      </c>
    </row>
    <row r="8" spans="1:9" ht="15.75" thickBot="1" x14ac:dyDescent="0.3">
      <c r="A8" s="7" t="s">
        <v>35</v>
      </c>
      <c r="B8" s="7">
        <v>48</v>
      </c>
    </row>
    <row r="10" spans="1:9" ht="15.75" thickBot="1" x14ac:dyDescent="0.3">
      <c r="A10" t="s">
        <v>36</v>
      </c>
    </row>
    <row r="11" spans="1:9" x14ac:dyDescent="0.25">
      <c r="A11" s="8"/>
      <c r="B11" s="8" t="s">
        <v>41</v>
      </c>
      <c r="C11" s="8" t="s">
        <v>42</v>
      </c>
      <c r="D11" s="8" t="s">
        <v>43</v>
      </c>
      <c r="E11" s="8" t="s">
        <v>44</v>
      </c>
      <c r="F11" s="8" t="s">
        <v>45</v>
      </c>
    </row>
    <row r="12" spans="1:9" x14ac:dyDescent="0.25">
      <c r="A12" s="6" t="s">
        <v>37</v>
      </c>
      <c r="B12" s="6">
        <v>7</v>
      </c>
      <c r="C12" s="6">
        <v>518.2661949166669</v>
      </c>
      <c r="D12" s="6">
        <v>74.038027845238133</v>
      </c>
      <c r="E12" s="6">
        <v>86.399868278980051</v>
      </c>
      <c r="F12" s="6">
        <v>4.0566672743324664E-22</v>
      </c>
    </row>
    <row r="13" spans="1:9" x14ac:dyDescent="0.25">
      <c r="A13" s="6" t="s">
        <v>38</v>
      </c>
      <c r="B13" s="6">
        <v>40</v>
      </c>
      <c r="C13" s="6">
        <v>34.276916999999926</v>
      </c>
      <c r="D13" s="6">
        <v>0.85692292499999811</v>
      </c>
      <c r="E13" s="6"/>
      <c r="F13" s="6"/>
    </row>
    <row r="14" spans="1:9" ht="15.75" thickBot="1" x14ac:dyDescent="0.3">
      <c r="A14" s="7" t="s">
        <v>39</v>
      </c>
      <c r="B14" s="7">
        <v>47</v>
      </c>
      <c r="C14" s="7">
        <v>552.54311191666682</v>
      </c>
      <c r="D14" s="7"/>
      <c r="E14" s="7"/>
      <c r="F14" s="7"/>
    </row>
    <row r="15" spans="1:9" ht="15.75" thickBot="1" x14ac:dyDescent="0.3"/>
    <row r="16" spans="1:9" x14ac:dyDescent="0.25">
      <c r="A16" s="8"/>
      <c r="B16" s="8" t="s">
        <v>46</v>
      </c>
      <c r="C16" s="8" t="s">
        <v>34</v>
      </c>
      <c r="D16" s="8" t="s">
        <v>47</v>
      </c>
      <c r="E16" s="8" t="s">
        <v>48</v>
      </c>
      <c r="F16" s="8" t="s">
        <v>49</v>
      </c>
      <c r="G16" s="8" t="s">
        <v>50</v>
      </c>
      <c r="H16" s="8" t="s">
        <v>51</v>
      </c>
      <c r="I16" s="8" t="s">
        <v>52</v>
      </c>
    </row>
    <row r="17" spans="1:9" x14ac:dyDescent="0.25">
      <c r="A17" s="6" t="s">
        <v>40</v>
      </c>
      <c r="B17" s="6">
        <v>99.963499999999982</v>
      </c>
      <c r="C17" s="6">
        <v>0.37791597941870586</v>
      </c>
      <c r="D17" s="6">
        <v>264.51249866110334</v>
      </c>
      <c r="E17" s="6">
        <v>1.7246533368156698E-66</v>
      </c>
      <c r="F17" s="6">
        <v>99.199703314393346</v>
      </c>
      <c r="G17" s="6">
        <v>100.72729668560662</v>
      </c>
      <c r="H17" s="6">
        <v>99.199703314393346</v>
      </c>
      <c r="I17" s="6">
        <v>100.72729668560662</v>
      </c>
    </row>
    <row r="18" spans="1:9" x14ac:dyDescent="0.25">
      <c r="A18" s="6" t="s">
        <v>53</v>
      </c>
      <c r="B18" s="6">
        <v>3.6863333333333403</v>
      </c>
      <c r="C18" s="6">
        <v>0.53445390353144517</v>
      </c>
      <c r="D18" s="6">
        <v>6.8973831213049621</v>
      </c>
      <c r="E18" s="6">
        <v>2.6066942046008913E-8</v>
      </c>
      <c r="F18" s="6">
        <v>2.6061617016528134</v>
      </c>
      <c r="G18" s="6">
        <v>4.7665049650138673</v>
      </c>
      <c r="H18" s="6">
        <v>2.6061617016528134</v>
      </c>
      <c r="I18" s="6">
        <v>4.7665049650138673</v>
      </c>
    </row>
    <row r="19" spans="1:9" x14ac:dyDescent="0.25">
      <c r="A19" s="6" t="s">
        <v>54</v>
      </c>
      <c r="B19" s="6">
        <v>1.6998333333333373</v>
      </c>
      <c r="C19" s="6">
        <v>0.5344539035314454</v>
      </c>
      <c r="D19" s="6">
        <v>3.1805050390717655</v>
      </c>
      <c r="E19" s="6">
        <v>2.8388868847859672E-3</v>
      </c>
      <c r="F19" s="6">
        <v>0.61966170165280965</v>
      </c>
      <c r="G19" s="6">
        <v>2.7800049650138652</v>
      </c>
      <c r="H19" s="6">
        <v>0.61966170165280965</v>
      </c>
      <c r="I19" s="6">
        <v>2.7800049650138652</v>
      </c>
    </row>
    <row r="20" spans="1:9" x14ac:dyDescent="0.25">
      <c r="A20" s="6" t="s">
        <v>55</v>
      </c>
      <c r="B20" s="6">
        <v>1.2850000000000061</v>
      </c>
      <c r="C20" s="6">
        <v>0.53445390353144528</v>
      </c>
      <c r="D20" s="6">
        <v>2.4043233504503752</v>
      </c>
      <c r="E20" s="6">
        <v>2.0924361236685476E-2</v>
      </c>
      <c r="F20" s="6">
        <v>0.2048283683194787</v>
      </c>
      <c r="G20" s="6">
        <v>2.3651716316805338</v>
      </c>
      <c r="H20" s="6">
        <v>0.2048283683194787</v>
      </c>
      <c r="I20" s="6">
        <v>2.3651716316805338</v>
      </c>
    </row>
    <row r="21" spans="1:9" x14ac:dyDescent="0.25">
      <c r="A21" s="6" t="s">
        <v>56</v>
      </c>
      <c r="B21" s="6">
        <v>0.32149999999999579</v>
      </c>
      <c r="C21" s="6">
        <v>0.75583195883741183</v>
      </c>
      <c r="D21" s="6">
        <v>0.42535909766836699</v>
      </c>
      <c r="E21" s="6">
        <v>0.67285471192853819</v>
      </c>
      <c r="F21" s="6">
        <v>-1.2060933712132815</v>
      </c>
      <c r="G21" s="6">
        <v>1.8490933712132733</v>
      </c>
      <c r="H21" s="6">
        <v>-1.2060933712132815</v>
      </c>
      <c r="I21" s="6">
        <v>1.8490933712132733</v>
      </c>
    </row>
    <row r="22" spans="1:9" x14ac:dyDescent="0.25">
      <c r="A22" s="6" t="s">
        <v>57</v>
      </c>
      <c r="B22" s="6">
        <v>0.40883333333332633</v>
      </c>
      <c r="C22" s="6">
        <v>0.75583195883741161</v>
      </c>
      <c r="D22" s="6">
        <v>0.54090506302773478</v>
      </c>
      <c r="E22" s="6">
        <v>0.59157276122299585</v>
      </c>
      <c r="F22" s="6">
        <v>-1.1187600378799507</v>
      </c>
      <c r="G22" s="6">
        <v>1.9364267045466033</v>
      </c>
      <c r="H22" s="6">
        <v>-1.1187600378799507</v>
      </c>
      <c r="I22" s="6">
        <v>1.9364267045466033</v>
      </c>
    </row>
    <row r="23" spans="1:9" x14ac:dyDescent="0.25">
      <c r="A23" s="6" t="s">
        <v>58</v>
      </c>
      <c r="B23" s="6">
        <v>0.64549999999999208</v>
      </c>
      <c r="C23" s="6">
        <v>0.75583195883741172</v>
      </c>
      <c r="D23" s="6">
        <v>0.85402580884893053</v>
      </c>
      <c r="E23" s="6">
        <v>0.39817654721188001</v>
      </c>
      <c r="F23" s="6">
        <v>-0.88209337121328513</v>
      </c>
      <c r="G23" s="6">
        <v>2.1730933712132692</v>
      </c>
      <c r="H23" s="6">
        <v>-0.88209337121328513</v>
      </c>
      <c r="I23" s="6">
        <v>2.1730933712132692</v>
      </c>
    </row>
    <row r="24" spans="1:9" ht="15.75" thickBot="1" x14ac:dyDescent="0.3">
      <c r="A24" s="7" t="s">
        <v>59</v>
      </c>
      <c r="B24" s="7">
        <v>3.2133333333333391</v>
      </c>
      <c r="C24" s="7">
        <v>1.0689078070628901</v>
      </c>
      <c r="D24" s="7">
        <v>3.0061838000443006</v>
      </c>
      <c r="E24" s="7">
        <v>4.5542254416383781E-3</v>
      </c>
      <c r="F24" s="7">
        <v>1.0529900699722852</v>
      </c>
      <c r="G24" s="7">
        <v>5.3736765966943931</v>
      </c>
      <c r="H24" s="7">
        <v>1.0529900699722852</v>
      </c>
      <c r="I24" s="7">
        <v>5.3736765966943931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6ABE-0FB2-4471-9804-95751A65F6A1}">
  <dimension ref="A1:I20"/>
  <sheetViews>
    <sheetView tabSelected="1" topLeftCell="A4" workbookViewId="0">
      <selection activeCell="J21" sqref="J21"/>
    </sheetView>
  </sheetViews>
  <sheetFormatPr defaultRowHeight="15" x14ac:dyDescent="0.25"/>
  <sheetData>
    <row r="1" spans="1:9" x14ac:dyDescent="0.25">
      <c r="A1" t="s">
        <v>29</v>
      </c>
    </row>
    <row r="2" spans="1:9" ht="15.75" thickBot="1" x14ac:dyDescent="0.3"/>
    <row r="3" spans="1:9" x14ac:dyDescent="0.25">
      <c r="A3" s="9" t="s">
        <v>30</v>
      </c>
      <c r="B3" s="9"/>
    </row>
    <row r="4" spans="1:9" x14ac:dyDescent="0.25">
      <c r="A4" s="6" t="s">
        <v>31</v>
      </c>
      <c r="B4" s="6">
        <v>0.8801580406215761</v>
      </c>
    </row>
    <row r="5" spans="1:9" x14ac:dyDescent="0.25">
      <c r="A5" s="6" t="s">
        <v>32</v>
      </c>
      <c r="B5" s="6">
        <v>0.77467817647081194</v>
      </c>
    </row>
    <row r="6" spans="1:9" x14ac:dyDescent="0.25">
      <c r="A6" s="6" t="s">
        <v>33</v>
      </c>
      <c r="B6" s="6">
        <v>0.75931532486654907</v>
      </c>
    </row>
    <row r="7" spans="1:9" x14ac:dyDescent="0.25">
      <c r="A7" s="6" t="s">
        <v>34</v>
      </c>
      <c r="B7" s="6">
        <v>1.682125424706626</v>
      </c>
    </row>
    <row r="8" spans="1:9" ht="15.75" thickBot="1" x14ac:dyDescent="0.3">
      <c r="A8" s="7" t="s">
        <v>35</v>
      </c>
      <c r="B8" s="7">
        <v>48</v>
      </c>
    </row>
    <row r="10" spans="1:9" ht="15.75" thickBot="1" x14ac:dyDescent="0.3">
      <c r="A10" t="s">
        <v>36</v>
      </c>
    </row>
    <row r="11" spans="1:9" x14ac:dyDescent="0.25">
      <c r="A11" s="8"/>
      <c r="B11" s="8" t="s">
        <v>41</v>
      </c>
      <c r="C11" s="8" t="s">
        <v>42</v>
      </c>
      <c r="D11" s="8" t="s">
        <v>43</v>
      </c>
      <c r="E11" s="8" t="s">
        <v>44</v>
      </c>
      <c r="F11" s="8" t="s">
        <v>45</v>
      </c>
    </row>
    <row r="12" spans="1:9" x14ac:dyDescent="0.25">
      <c r="A12" s="6" t="s">
        <v>37</v>
      </c>
      <c r="B12" s="6">
        <v>3</v>
      </c>
      <c r="C12" s="6">
        <v>428.04309036111118</v>
      </c>
      <c r="D12" s="6">
        <v>142.68103012037039</v>
      </c>
      <c r="E12" s="6">
        <v>50.425415569063823</v>
      </c>
      <c r="F12" s="6">
        <v>2.7536728250997413E-14</v>
      </c>
    </row>
    <row r="13" spans="1:9" x14ac:dyDescent="0.25">
      <c r="A13" s="6" t="s">
        <v>38</v>
      </c>
      <c r="B13" s="6">
        <v>44</v>
      </c>
      <c r="C13" s="6">
        <v>124.50002155555565</v>
      </c>
      <c r="D13" s="6">
        <v>2.8295459444444466</v>
      </c>
      <c r="E13" s="6"/>
      <c r="F13" s="6"/>
    </row>
    <row r="14" spans="1:9" ht="15.75" thickBot="1" x14ac:dyDescent="0.3">
      <c r="A14" s="7" t="s">
        <v>39</v>
      </c>
      <c r="B14" s="7">
        <v>47</v>
      </c>
      <c r="C14" s="7">
        <v>552.54311191666682</v>
      </c>
      <c r="D14" s="7"/>
      <c r="E14" s="7"/>
      <c r="F14" s="7"/>
    </row>
    <row r="15" spans="1:9" ht="15.75" thickBot="1" x14ac:dyDescent="0.3"/>
    <row r="16" spans="1:9" x14ac:dyDescent="0.25">
      <c r="A16" s="8"/>
      <c r="B16" s="8" t="s">
        <v>46</v>
      </c>
      <c r="C16" s="8" t="s">
        <v>34</v>
      </c>
      <c r="D16" s="8" t="s">
        <v>47</v>
      </c>
      <c r="E16" s="8" t="s">
        <v>48</v>
      </c>
      <c r="F16" s="8" t="s">
        <v>49</v>
      </c>
      <c r="G16" s="8" t="s">
        <v>50</v>
      </c>
      <c r="H16" s="8" t="s">
        <v>51</v>
      </c>
      <c r="I16" s="8" t="s">
        <v>52</v>
      </c>
    </row>
    <row r="17" spans="1:9" x14ac:dyDescent="0.25">
      <c r="A17" s="6" t="s">
        <v>40</v>
      </c>
      <c r="B17" s="6">
        <v>101.62061111111112</v>
      </c>
      <c r="C17" s="6">
        <v>0.39648076487211886</v>
      </c>
      <c r="D17" s="6">
        <v>256.3065351830823</v>
      </c>
      <c r="E17" s="6">
        <v>1.7459070648821601E-71</v>
      </c>
      <c r="F17" s="6">
        <v>100.82155663369718</v>
      </c>
      <c r="G17" s="6">
        <v>102.41966558852505</v>
      </c>
      <c r="H17" s="6">
        <v>100.82155663369718</v>
      </c>
      <c r="I17" s="6">
        <v>102.41966558852505</v>
      </c>
    </row>
    <row r="18" spans="1:9" x14ac:dyDescent="0.25">
      <c r="A18" s="6" t="s">
        <v>53</v>
      </c>
      <c r="B18" s="6">
        <v>2.0221666666666662</v>
      </c>
      <c r="C18" s="6">
        <v>0.56070847490220876</v>
      </c>
      <c r="D18" s="6">
        <v>3.6064492640660468</v>
      </c>
      <c r="E18" s="6">
        <v>7.8813933649644593E-4</v>
      </c>
      <c r="F18" s="6">
        <v>0.89213298763293913</v>
      </c>
      <c r="G18" s="6">
        <v>3.1522003457003933</v>
      </c>
      <c r="H18" s="6">
        <v>0.89213298763293913</v>
      </c>
      <c r="I18" s="6">
        <v>3.1522003457003933</v>
      </c>
    </row>
    <row r="19" spans="1:9" x14ac:dyDescent="0.25">
      <c r="A19" s="6" t="s">
        <v>54</v>
      </c>
      <c r="B19" s="6">
        <v>3.7230555555555562</v>
      </c>
      <c r="C19" s="6">
        <v>0.79296152974423761</v>
      </c>
      <c r="D19" s="6">
        <v>4.6951275892998154</v>
      </c>
      <c r="E19" s="6">
        <v>2.6206277105927488E-5</v>
      </c>
      <c r="F19" s="6">
        <v>2.1249466007276947</v>
      </c>
      <c r="G19" s="6">
        <v>5.3211645103834178</v>
      </c>
      <c r="H19" s="6">
        <v>2.1249466007276947</v>
      </c>
      <c r="I19" s="6">
        <v>5.3211645103834178</v>
      </c>
    </row>
    <row r="20" spans="1:9" ht="15.75" thickBot="1" x14ac:dyDescent="0.3">
      <c r="A20" s="7" t="s">
        <v>55</v>
      </c>
      <c r="B20" s="7">
        <v>3.858000000000001</v>
      </c>
      <c r="C20" s="7">
        <v>1.1214169498044173</v>
      </c>
      <c r="D20" s="7">
        <v>3.4402904295970043</v>
      </c>
      <c r="E20" s="7">
        <v>1.283779895660816E-3</v>
      </c>
      <c r="F20" s="7">
        <v>1.5979326419325472</v>
      </c>
      <c r="G20" s="7">
        <v>6.1180673580674547</v>
      </c>
      <c r="H20" s="7">
        <v>1.5979326419325472</v>
      </c>
      <c r="I20" s="7">
        <v>6.1180673580674547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9"/>
  <sheetViews>
    <sheetView workbookViewId="0">
      <selection activeCell="P1" sqref="P1"/>
    </sheetView>
  </sheetViews>
  <sheetFormatPr defaultRowHeight="15" x14ac:dyDescent="0.25"/>
  <cols>
    <col min="1" max="1" width="6.7109375" customWidth="1"/>
    <col min="2" max="4" width="14.7109375" customWidth="1"/>
    <col min="5" max="5" width="10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O1" s="5" t="s">
        <v>23</v>
      </c>
      <c r="P1" s="5" t="s">
        <v>26</v>
      </c>
      <c r="Q1" s="5" t="s">
        <v>60</v>
      </c>
    </row>
    <row r="2" spans="1:17" x14ac:dyDescent="0.25">
      <c r="A2">
        <v>1</v>
      </c>
      <c r="B2" t="s">
        <v>5</v>
      </c>
      <c r="C2" t="s">
        <v>7</v>
      </c>
      <c r="D2" t="s">
        <v>9</v>
      </c>
      <c r="E2">
        <v>105.497</v>
      </c>
      <c r="F2">
        <v>1</v>
      </c>
      <c r="G2">
        <v>1</v>
      </c>
      <c r="H2">
        <v>0</v>
      </c>
      <c r="I2">
        <v>1</v>
      </c>
      <c r="J2">
        <f>G2*H2</f>
        <v>0</v>
      </c>
      <c r="K2">
        <f>G2*I2</f>
        <v>1</v>
      </c>
      <c r="L2">
        <f>H2*I2</f>
        <v>0</v>
      </c>
      <c r="M2">
        <f>G2*H2*I2</f>
        <v>0</v>
      </c>
      <c r="O2">
        <v>0</v>
      </c>
      <c r="P2">
        <v>1</v>
      </c>
      <c r="Q2">
        <f>O2*P2</f>
        <v>0</v>
      </c>
    </row>
    <row r="3" spans="1:17" x14ac:dyDescent="0.25">
      <c r="A3">
        <v>2</v>
      </c>
      <c r="B3" t="s">
        <v>5</v>
      </c>
      <c r="C3" t="s">
        <v>7</v>
      </c>
      <c r="D3" t="s">
        <v>9</v>
      </c>
      <c r="E3">
        <v>104.86199999999999</v>
      </c>
      <c r="F3">
        <v>2</v>
      </c>
      <c r="G3">
        <v>1</v>
      </c>
      <c r="H3">
        <v>0</v>
      </c>
      <c r="I3">
        <v>1</v>
      </c>
      <c r="J3">
        <f t="shared" ref="J3:J49" si="0">G3*H3</f>
        <v>0</v>
      </c>
      <c r="K3">
        <f t="shared" ref="K3:K49" si="1">G3*I3</f>
        <v>1</v>
      </c>
      <c r="L3">
        <f t="shared" ref="L3:L49" si="2">H3*I3</f>
        <v>0</v>
      </c>
      <c r="M3">
        <f t="shared" ref="M3:M49" si="3">G3*H3*I3</f>
        <v>0</v>
      </c>
      <c r="O3">
        <v>0</v>
      </c>
      <c r="P3">
        <v>1</v>
      </c>
      <c r="Q3">
        <f t="shared" ref="Q3:Q49" si="4">O3*P3</f>
        <v>0</v>
      </c>
    </row>
    <row r="4" spans="1:17" x14ac:dyDescent="0.25">
      <c r="A4">
        <v>3</v>
      </c>
      <c r="B4" t="s">
        <v>5</v>
      </c>
      <c r="C4" t="s">
        <v>7</v>
      </c>
      <c r="D4" t="s">
        <v>9</v>
      </c>
      <c r="E4">
        <v>105.648</v>
      </c>
      <c r="F4">
        <v>3</v>
      </c>
      <c r="G4">
        <v>1</v>
      </c>
      <c r="H4">
        <v>0</v>
      </c>
      <c r="I4">
        <v>1</v>
      </c>
      <c r="J4">
        <f t="shared" si="0"/>
        <v>0</v>
      </c>
      <c r="K4">
        <f t="shared" si="1"/>
        <v>1</v>
      </c>
      <c r="L4">
        <f t="shared" si="2"/>
        <v>0</v>
      </c>
      <c r="M4">
        <f t="shared" si="3"/>
        <v>0</v>
      </c>
      <c r="O4">
        <v>0</v>
      </c>
      <c r="P4">
        <v>1</v>
      </c>
      <c r="Q4">
        <f t="shared" si="4"/>
        <v>0</v>
      </c>
    </row>
    <row r="5" spans="1:17" x14ac:dyDescent="0.25">
      <c r="A5">
        <v>4</v>
      </c>
      <c r="B5" t="s">
        <v>5</v>
      </c>
      <c r="C5" t="s">
        <v>7</v>
      </c>
      <c r="D5" t="s">
        <v>9</v>
      </c>
      <c r="E5">
        <v>106.523</v>
      </c>
      <c r="F5">
        <v>4</v>
      </c>
      <c r="G5">
        <v>1</v>
      </c>
      <c r="H5">
        <v>0</v>
      </c>
      <c r="I5">
        <v>1</v>
      </c>
      <c r="J5">
        <f t="shared" si="0"/>
        <v>0</v>
      </c>
      <c r="K5">
        <f t="shared" si="1"/>
        <v>1</v>
      </c>
      <c r="L5">
        <f t="shared" si="2"/>
        <v>0</v>
      </c>
      <c r="M5">
        <f t="shared" si="3"/>
        <v>0</v>
      </c>
      <c r="O5">
        <v>0</v>
      </c>
      <c r="P5">
        <v>1</v>
      </c>
      <c r="Q5">
        <f t="shared" si="4"/>
        <v>0</v>
      </c>
    </row>
    <row r="6" spans="1:17" x14ac:dyDescent="0.25">
      <c r="A6">
        <v>5</v>
      </c>
      <c r="B6" t="s">
        <v>5</v>
      </c>
      <c r="C6" t="s">
        <v>7</v>
      </c>
      <c r="D6" t="s">
        <v>9</v>
      </c>
      <c r="E6">
        <v>104.76600000000001</v>
      </c>
      <c r="F6">
        <v>5</v>
      </c>
      <c r="G6">
        <v>1</v>
      </c>
      <c r="H6">
        <v>0</v>
      </c>
      <c r="I6">
        <v>1</v>
      </c>
      <c r="J6">
        <f t="shared" si="0"/>
        <v>0</v>
      </c>
      <c r="K6">
        <f t="shared" si="1"/>
        <v>1</v>
      </c>
      <c r="L6">
        <f t="shared" si="2"/>
        <v>0</v>
      </c>
      <c r="M6">
        <f t="shared" si="3"/>
        <v>0</v>
      </c>
      <c r="O6">
        <v>0</v>
      </c>
      <c r="P6">
        <v>1</v>
      </c>
      <c r="Q6">
        <f t="shared" si="4"/>
        <v>0</v>
      </c>
    </row>
    <row r="7" spans="1:17" x14ac:dyDescent="0.25">
      <c r="A7">
        <v>6</v>
      </c>
      <c r="B7" t="s">
        <v>5</v>
      </c>
      <c r="C7" t="s">
        <v>7</v>
      </c>
      <c r="D7" t="s">
        <v>9</v>
      </c>
      <c r="E7">
        <v>104.76600000000001</v>
      </c>
      <c r="F7">
        <v>6</v>
      </c>
      <c r="G7">
        <v>1</v>
      </c>
      <c r="H7">
        <v>0</v>
      </c>
      <c r="I7">
        <v>1</v>
      </c>
      <c r="J7">
        <f t="shared" si="0"/>
        <v>0</v>
      </c>
      <c r="K7">
        <f t="shared" si="1"/>
        <v>1</v>
      </c>
      <c r="L7">
        <f t="shared" si="2"/>
        <v>0</v>
      </c>
      <c r="M7">
        <f t="shared" si="3"/>
        <v>0</v>
      </c>
      <c r="O7">
        <v>0</v>
      </c>
      <c r="P7">
        <v>1</v>
      </c>
      <c r="Q7">
        <f t="shared" si="4"/>
        <v>0</v>
      </c>
    </row>
    <row r="8" spans="1:17" x14ac:dyDescent="0.25">
      <c r="A8">
        <v>7</v>
      </c>
      <c r="B8" t="s">
        <v>5</v>
      </c>
      <c r="C8" t="s">
        <v>7</v>
      </c>
      <c r="D8" t="s">
        <v>19</v>
      </c>
      <c r="E8">
        <v>102.57899999999999</v>
      </c>
      <c r="F8">
        <v>7</v>
      </c>
      <c r="G8">
        <v>0</v>
      </c>
      <c r="H8">
        <v>0</v>
      </c>
      <c r="I8">
        <v>1</v>
      </c>
      <c r="J8">
        <f t="shared" si="0"/>
        <v>0</v>
      </c>
      <c r="K8">
        <f t="shared" si="1"/>
        <v>0</v>
      </c>
      <c r="L8">
        <f t="shared" si="2"/>
        <v>0</v>
      </c>
      <c r="M8">
        <f t="shared" si="3"/>
        <v>0</v>
      </c>
      <c r="O8">
        <v>0</v>
      </c>
      <c r="P8">
        <v>0</v>
      </c>
      <c r="Q8">
        <f t="shared" si="4"/>
        <v>0</v>
      </c>
    </row>
    <row r="9" spans="1:17" x14ac:dyDescent="0.25">
      <c r="A9">
        <v>8</v>
      </c>
      <c r="B9" t="s">
        <v>5</v>
      </c>
      <c r="C9" t="s">
        <v>7</v>
      </c>
      <c r="D9" t="s">
        <v>19</v>
      </c>
      <c r="E9">
        <v>101.767</v>
      </c>
      <c r="F9">
        <v>8</v>
      </c>
      <c r="G9">
        <v>0</v>
      </c>
      <c r="H9">
        <v>0</v>
      </c>
      <c r="I9">
        <v>1</v>
      </c>
      <c r="J9">
        <f t="shared" si="0"/>
        <v>0</v>
      </c>
      <c r="K9">
        <f t="shared" si="1"/>
        <v>0</v>
      </c>
      <c r="L9">
        <f t="shared" si="2"/>
        <v>0</v>
      </c>
      <c r="M9">
        <f t="shared" si="3"/>
        <v>0</v>
      </c>
      <c r="O9">
        <v>0</v>
      </c>
      <c r="P9">
        <v>0</v>
      </c>
      <c r="Q9">
        <f t="shared" si="4"/>
        <v>0</v>
      </c>
    </row>
    <row r="10" spans="1:17" x14ac:dyDescent="0.25">
      <c r="A10">
        <v>9</v>
      </c>
      <c r="B10" t="s">
        <v>5</v>
      </c>
      <c r="C10" t="s">
        <v>7</v>
      </c>
      <c r="D10" t="s">
        <v>19</v>
      </c>
      <c r="E10">
        <v>100.53100000000001</v>
      </c>
      <c r="F10">
        <v>9</v>
      </c>
      <c r="G10">
        <v>0</v>
      </c>
      <c r="H10">
        <v>0</v>
      </c>
      <c r="I10">
        <v>1</v>
      </c>
      <c r="J10">
        <f t="shared" si="0"/>
        <v>0</v>
      </c>
      <c r="K10">
        <f t="shared" si="1"/>
        <v>0</v>
      </c>
      <c r="L10">
        <f t="shared" si="2"/>
        <v>0</v>
      </c>
      <c r="M10">
        <f t="shared" si="3"/>
        <v>0</v>
      </c>
      <c r="O10">
        <v>0</v>
      </c>
      <c r="P10">
        <v>0</v>
      </c>
      <c r="Q10">
        <f t="shared" si="4"/>
        <v>0</v>
      </c>
    </row>
    <row r="11" spans="1:17" x14ac:dyDescent="0.25">
      <c r="A11">
        <v>10</v>
      </c>
      <c r="B11" t="s">
        <v>5</v>
      </c>
      <c r="C11" t="s">
        <v>7</v>
      </c>
      <c r="D11" t="s">
        <v>19</v>
      </c>
      <c r="E11">
        <v>101.54300000000001</v>
      </c>
      <c r="F11">
        <v>10</v>
      </c>
      <c r="G11">
        <v>0</v>
      </c>
      <c r="H11">
        <v>0</v>
      </c>
      <c r="I11">
        <v>1</v>
      </c>
      <c r="J11">
        <f t="shared" si="0"/>
        <v>0</v>
      </c>
      <c r="K11">
        <f t="shared" si="1"/>
        <v>0</v>
      </c>
      <c r="L11">
        <f t="shared" si="2"/>
        <v>0</v>
      </c>
      <c r="M11">
        <f t="shared" si="3"/>
        <v>0</v>
      </c>
      <c r="O11">
        <v>0</v>
      </c>
      <c r="P11">
        <v>0</v>
      </c>
      <c r="Q11">
        <f t="shared" si="4"/>
        <v>0</v>
      </c>
    </row>
    <row r="12" spans="1:17" x14ac:dyDescent="0.25">
      <c r="A12">
        <v>11</v>
      </c>
      <c r="B12" t="s">
        <v>5</v>
      </c>
      <c r="C12" t="s">
        <v>7</v>
      </c>
      <c r="D12" t="s">
        <v>19</v>
      </c>
      <c r="E12">
        <v>100.53700000000001</v>
      </c>
      <c r="F12">
        <v>11</v>
      </c>
      <c r="G12">
        <v>0</v>
      </c>
      <c r="H12">
        <v>0</v>
      </c>
      <c r="I12">
        <v>1</v>
      </c>
      <c r="J12">
        <f t="shared" si="0"/>
        <v>0</v>
      </c>
      <c r="K12">
        <f t="shared" si="1"/>
        <v>0</v>
      </c>
      <c r="L12">
        <f t="shared" si="2"/>
        <v>0</v>
      </c>
      <c r="M12">
        <f t="shared" si="3"/>
        <v>0</v>
      </c>
      <c r="O12">
        <v>0</v>
      </c>
      <c r="P12">
        <v>0</v>
      </c>
      <c r="Q12">
        <f t="shared" si="4"/>
        <v>0</v>
      </c>
    </row>
    <row r="13" spans="1:17" x14ac:dyDescent="0.25">
      <c r="A13">
        <v>12</v>
      </c>
      <c r="B13" t="s">
        <v>5</v>
      </c>
      <c r="C13" t="s">
        <v>7</v>
      </c>
      <c r="D13" t="s">
        <v>19</v>
      </c>
      <c r="E13">
        <v>100.53400000000001</v>
      </c>
      <c r="F13">
        <v>12</v>
      </c>
      <c r="G13">
        <v>0</v>
      </c>
      <c r="H13">
        <v>0</v>
      </c>
      <c r="I13">
        <v>1</v>
      </c>
      <c r="J13">
        <f t="shared" si="0"/>
        <v>0</v>
      </c>
      <c r="K13">
        <f t="shared" si="1"/>
        <v>0</v>
      </c>
      <c r="L13">
        <f t="shared" si="2"/>
        <v>0</v>
      </c>
      <c r="M13">
        <f t="shared" si="3"/>
        <v>0</v>
      </c>
      <c r="O13">
        <v>0</v>
      </c>
      <c r="P13">
        <v>0</v>
      </c>
      <c r="Q13">
        <f t="shared" si="4"/>
        <v>0</v>
      </c>
    </row>
    <row r="14" spans="1:17" x14ac:dyDescent="0.25">
      <c r="A14">
        <v>13</v>
      </c>
      <c r="B14" t="s">
        <v>5</v>
      </c>
      <c r="C14" t="s">
        <v>8</v>
      </c>
      <c r="D14" t="s">
        <v>9</v>
      </c>
      <c r="E14">
        <v>112.242</v>
      </c>
      <c r="F14">
        <v>13</v>
      </c>
      <c r="G14">
        <v>1</v>
      </c>
      <c r="H14">
        <v>1</v>
      </c>
      <c r="I14">
        <v>1</v>
      </c>
      <c r="J14">
        <f t="shared" si="0"/>
        <v>1</v>
      </c>
      <c r="K14">
        <f t="shared" si="1"/>
        <v>1</v>
      </c>
      <c r="L14">
        <f t="shared" si="2"/>
        <v>1</v>
      </c>
      <c r="M14">
        <f t="shared" si="3"/>
        <v>1</v>
      </c>
      <c r="O14">
        <v>1</v>
      </c>
      <c r="P14">
        <v>1</v>
      </c>
      <c r="Q14">
        <f t="shared" si="4"/>
        <v>1</v>
      </c>
    </row>
    <row r="15" spans="1:17" x14ac:dyDescent="0.25">
      <c r="A15">
        <v>14</v>
      </c>
      <c r="B15" t="s">
        <v>5</v>
      </c>
      <c r="C15" t="s">
        <v>8</v>
      </c>
      <c r="D15" t="s">
        <v>9</v>
      </c>
      <c r="E15">
        <v>110.087</v>
      </c>
      <c r="F15">
        <v>14</v>
      </c>
      <c r="G15">
        <v>1</v>
      </c>
      <c r="H15">
        <v>1</v>
      </c>
      <c r="I15">
        <v>1</v>
      </c>
      <c r="J15">
        <f t="shared" si="0"/>
        <v>1</v>
      </c>
      <c r="K15">
        <f t="shared" si="1"/>
        <v>1</v>
      </c>
      <c r="L15">
        <f t="shared" si="2"/>
        <v>1</v>
      </c>
      <c r="M15">
        <f t="shared" si="3"/>
        <v>1</v>
      </c>
      <c r="O15">
        <v>1</v>
      </c>
      <c r="P15">
        <v>1</v>
      </c>
      <c r="Q15">
        <f t="shared" si="4"/>
        <v>1</v>
      </c>
    </row>
    <row r="16" spans="1:17" x14ac:dyDescent="0.25">
      <c r="A16">
        <v>15</v>
      </c>
      <c r="B16" t="s">
        <v>5</v>
      </c>
      <c r="C16" t="s">
        <v>8</v>
      </c>
      <c r="D16" t="s">
        <v>9</v>
      </c>
      <c r="E16">
        <v>110.27500000000001</v>
      </c>
      <c r="F16">
        <v>15</v>
      </c>
      <c r="G16">
        <v>1</v>
      </c>
      <c r="H16">
        <v>1</v>
      </c>
      <c r="I16">
        <v>1</v>
      </c>
      <c r="J16">
        <f t="shared" si="0"/>
        <v>1</v>
      </c>
      <c r="K16">
        <f t="shared" si="1"/>
        <v>1</v>
      </c>
      <c r="L16">
        <f t="shared" si="2"/>
        <v>1</v>
      </c>
      <c r="M16">
        <f t="shared" si="3"/>
        <v>1</v>
      </c>
      <c r="O16">
        <v>1</v>
      </c>
      <c r="P16">
        <v>1</v>
      </c>
      <c r="Q16">
        <f t="shared" si="4"/>
        <v>1</v>
      </c>
    </row>
    <row r="17" spans="1:17" x14ac:dyDescent="0.25">
      <c r="A17">
        <v>16</v>
      </c>
      <c r="B17" t="s">
        <v>5</v>
      </c>
      <c r="C17" t="s">
        <v>8</v>
      </c>
      <c r="D17" t="s">
        <v>9</v>
      </c>
      <c r="E17">
        <v>111.438</v>
      </c>
      <c r="F17">
        <v>16</v>
      </c>
      <c r="G17">
        <v>1</v>
      </c>
      <c r="H17">
        <v>1</v>
      </c>
      <c r="I17">
        <v>1</v>
      </c>
      <c r="J17">
        <f t="shared" si="0"/>
        <v>1</v>
      </c>
      <c r="K17">
        <f t="shared" si="1"/>
        <v>1</v>
      </c>
      <c r="L17">
        <f t="shared" si="2"/>
        <v>1</v>
      </c>
      <c r="M17">
        <f t="shared" si="3"/>
        <v>1</v>
      </c>
      <c r="O17">
        <v>1</v>
      </c>
      <c r="P17">
        <v>1</v>
      </c>
      <c r="Q17">
        <f t="shared" si="4"/>
        <v>1</v>
      </c>
    </row>
    <row r="18" spans="1:17" x14ac:dyDescent="0.25">
      <c r="A18">
        <v>17</v>
      </c>
      <c r="B18" t="s">
        <v>5</v>
      </c>
      <c r="C18" t="s">
        <v>8</v>
      </c>
      <c r="D18" t="s">
        <v>9</v>
      </c>
      <c r="E18">
        <v>110.98699999999999</v>
      </c>
      <c r="F18">
        <v>17</v>
      </c>
      <c r="G18">
        <v>1</v>
      </c>
      <c r="H18">
        <v>1</v>
      </c>
      <c r="I18">
        <v>1</v>
      </c>
      <c r="J18">
        <f t="shared" si="0"/>
        <v>1</v>
      </c>
      <c r="K18">
        <f t="shared" si="1"/>
        <v>1</v>
      </c>
      <c r="L18">
        <f t="shared" si="2"/>
        <v>1</v>
      </c>
      <c r="M18">
        <f t="shared" si="3"/>
        <v>1</v>
      </c>
      <c r="O18">
        <v>1</v>
      </c>
      <c r="P18">
        <v>1</v>
      </c>
      <c r="Q18">
        <f t="shared" si="4"/>
        <v>1</v>
      </c>
    </row>
    <row r="19" spans="1:17" x14ac:dyDescent="0.25">
      <c r="A19">
        <v>18</v>
      </c>
      <c r="B19" t="s">
        <v>5</v>
      </c>
      <c r="C19" t="s">
        <v>8</v>
      </c>
      <c r="D19" t="s">
        <v>9</v>
      </c>
      <c r="E19">
        <v>112.31399999999999</v>
      </c>
      <c r="F19">
        <v>18</v>
      </c>
      <c r="G19">
        <v>1</v>
      </c>
      <c r="H19">
        <v>1</v>
      </c>
      <c r="I19">
        <v>1</v>
      </c>
      <c r="J19">
        <f t="shared" si="0"/>
        <v>1</v>
      </c>
      <c r="K19">
        <f t="shared" si="1"/>
        <v>1</v>
      </c>
      <c r="L19">
        <f t="shared" si="2"/>
        <v>1</v>
      </c>
      <c r="M19">
        <f t="shared" si="3"/>
        <v>1</v>
      </c>
      <c r="O19">
        <v>1</v>
      </c>
      <c r="P19">
        <v>1</v>
      </c>
      <c r="Q19">
        <f t="shared" si="4"/>
        <v>1</v>
      </c>
    </row>
    <row r="20" spans="1:17" x14ac:dyDescent="0.25">
      <c r="A20">
        <v>19</v>
      </c>
      <c r="B20" t="s">
        <v>5</v>
      </c>
      <c r="C20" t="s">
        <v>8</v>
      </c>
      <c r="D20" t="s">
        <v>19</v>
      </c>
      <c r="E20">
        <v>103.092</v>
      </c>
      <c r="F20">
        <v>19</v>
      </c>
      <c r="G20">
        <v>0</v>
      </c>
      <c r="H20">
        <v>1</v>
      </c>
      <c r="I20">
        <v>1</v>
      </c>
      <c r="J20">
        <f t="shared" si="0"/>
        <v>0</v>
      </c>
      <c r="K20">
        <f t="shared" si="1"/>
        <v>0</v>
      </c>
      <c r="L20">
        <f t="shared" si="2"/>
        <v>1</v>
      </c>
      <c r="M20">
        <f t="shared" si="3"/>
        <v>0</v>
      </c>
      <c r="O20">
        <v>1</v>
      </c>
      <c r="P20">
        <v>0</v>
      </c>
      <c r="Q20">
        <f t="shared" si="4"/>
        <v>0</v>
      </c>
    </row>
    <row r="21" spans="1:17" x14ac:dyDescent="0.25">
      <c r="A21">
        <v>20</v>
      </c>
      <c r="B21" t="s">
        <v>5</v>
      </c>
      <c r="C21" t="s">
        <v>8</v>
      </c>
      <c r="D21" t="s">
        <v>19</v>
      </c>
      <c r="E21">
        <v>102.58799999999999</v>
      </c>
      <c r="F21">
        <v>20</v>
      </c>
      <c r="G21">
        <v>0</v>
      </c>
      <c r="H21">
        <v>1</v>
      </c>
      <c r="I21">
        <v>1</v>
      </c>
      <c r="J21">
        <f t="shared" si="0"/>
        <v>0</v>
      </c>
      <c r="K21">
        <f t="shared" si="1"/>
        <v>0</v>
      </c>
      <c r="L21">
        <f t="shared" si="2"/>
        <v>1</v>
      </c>
      <c r="M21">
        <f t="shared" si="3"/>
        <v>0</v>
      </c>
      <c r="O21">
        <v>1</v>
      </c>
      <c r="P21">
        <v>0</v>
      </c>
      <c r="Q21">
        <f t="shared" si="4"/>
        <v>0</v>
      </c>
    </row>
    <row r="22" spans="1:17" x14ac:dyDescent="0.25">
      <c r="A22">
        <v>21</v>
      </c>
      <c r="B22" t="s">
        <v>5</v>
      </c>
      <c r="C22" t="s">
        <v>8</v>
      </c>
      <c r="D22" t="s">
        <v>19</v>
      </c>
      <c r="E22">
        <v>105.46599999999999</v>
      </c>
      <c r="F22">
        <v>21</v>
      </c>
      <c r="G22">
        <v>0</v>
      </c>
      <c r="H22">
        <v>1</v>
      </c>
      <c r="I22">
        <v>1</v>
      </c>
      <c r="J22">
        <f t="shared" si="0"/>
        <v>0</v>
      </c>
      <c r="K22">
        <f t="shared" si="1"/>
        <v>0</v>
      </c>
      <c r="L22">
        <f t="shared" si="2"/>
        <v>1</v>
      </c>
      <c r="M22">
        <f t="shared" si="3"/>
        <v>0</v>
      </c>
      <c r="O22">
        <v>1</v>
      </c>
      <c r="P22">
        <v>0</v>
      </c>
      <c r="Q22">
        <f t="shared" si="4"/>
        <v>0</v>
      </c>
    </row>
    <row r="23" spans="1:17" x14ac:dyDescent="0.25">
      <c r="A23">
        <v>22</v>
      </c>
      <c r="B23" t="s">
        <v>5</v>
      </c>
      <c r="C23" t="s">
        <v>8</v>
      </c>
      <c r="D23" t="s">
        <v>19</v>
      </c>
      <c r="E23">
        <v>103.774</v>
      </c>
      <c r="F23">
        <v>22</v>
      </c>
      <c r="G23">
        <v>0</v>
      </c>
      <c r="H23">
        <v>1</v>
      </c>
      <c r="I23">
        <v>1</v>
      </c>
      <c r="J23">
        <f t="shared" si="0"/>
        <v>0</v>
      </c>
      <c r="K23">
        <f t="shared" si="1"/>
        <v>0</v>
      </c>
      <c r="L23">
        <f t="shared" si="2"/>
        <v>1</v>
      </c>
      <c r="M23">
        <f t="shared" si="3"/>
        <v>0</v>
      </c>
      <c r="O23">
        <v>1</v>
      </c>
      <c r="P23">
        <v>0</v>
      </c>
      <c r="Q23">
        <f t="shared" si="4"/>
        <v>0</v>
      </c>
    </row>
    <row r="24" spans="1:17" x14ac:dyDescent="0.25">
      <c r="A24">
        <v>23</v>
      </c>
      <c r="B24" t="s">
        <v>5</v>
      </c>
      <c r="C24" t="s">
        <v>8</v>
      </c>
      <c r="D24" t="s">
        <v>19</v>
      </c>
      <c r="E24">
        <v>104.068</v>
      </c>
      <c r="F24">
        <v>23</v>
      </c>
      <c r="G24">
        <v>0</v>
      </c>
      <c r="H24">
        <v>1</v>
      </c>
      <c r="I24">
        <v>1</v>
      </c>
      <c r="J24">
        <f t="shared" si="0"/>
        <v>0</v>
      </c>
      <c r="K24">
        <f t="shared" si="1"/>
        <v>0</v>
      </c>
      <c r="L24">
        <f t="shared" si="2"/>
        <v>1</v>
      </c>
      <c r="M24">
        <f t="shared" si="3"/>
        <v>0</v>
      </c>
      <c r="O24">
        <v>1</v>
      </c>
      <c r="P24">
        <v>0</v>
      </c>
      <c r="Q24">
        <f t="shared" si="4"/>
        <v>0</v>
      </c>
    </row>
    <row r="25" spans="1:17" x14ac:dyDescent="0.25">
      <c r="A25">
        <v>24</v>
      </c>
      <c r="B25" t="s">
        <v>5</v>
      </c>
      <c r="C25" t="s">
        <v>8</v>
      </c>
      <c r="D25" t="s">
        <v>19</v>
      </c>
      <c r="E25">
        <v>102.575</v>
      </c>
      <c r="F25">
        <v>24</v>
      </c>
      <c r="G25">
        <v>0</v>
      </c>
      <c r="H25">
        <v>1</v>
      </c>
      <c r="I25">
        <v>1</v>
      </c>
      <c r="J25">
        <f t="shared" si="0"/>
        <v>0</v>
      </c>
      <c r="K25">
        <f t="shared" si="1"/>
        <v>0</v>
      </c>
      <c r="L25">
        <f t="shared" si="2"/>
        <v>1</v>
      </c>
      <c r="M25">
        <f t="shared" si="3"/>
        <v>0</v>
      </c>
      <c r="O25">
        <v>1</v>
      </c>
      <c r="P25">
        <v>0</v>
      </c>
      <c r="Q25">
        <f t="shared" si="4"/>
        <v>0</v>
      </c>
    </row>
    <row r="26" spans="1:17" x14ac:dyDescent="0.25">
      <c r="A26">
        <v>25</v>
      </c>
      <c r="B26" t="s">
        <v>6</v>
      </c>
      <c r="C26" t="s">
        <v>7</v>
      </c>
      <c r="D26" t="s">
        <v>9</v>
      </c>
      <c r="E26">
        <v>103.456</v>
      </c>
      <c r="F26">
        <v>1</v>
      </c>
      <c r="G26">
        <v>1</v>
      </c>
      <c r="H26">
        <v>0</v>
      </c>
      <c r="I26">
        <v>0</v>
      </c>
      <c r="J26">
        <f t="shared" si="0"/>
        <v>0</v>
      </c>
      <c r="K26">
        <f t="shared" si="1"/>
        <v>0</v>
      </c>
      <c r="L26">
        <f t="shared" si="2"/>
        <v>0</v>
      </c>
      <c r="M26">
        <f t="shared" si="3"/>
        <v>0</v>
      </c>
      <c r="O26">
        <v>0</v>
      </c>
      <c r="P26">
        <v>0</v>
      </c>
      <c r="Q26">
        <f t="shared" si="4"/>
        <v>0</v>
      </c>
    </row>
    <row r="27" spans="1:17" x14ac:dyDescent="0.25">
      <c r="A27">
        <v>26</v>
      </c>
      <c r="B27" t="s">
        <v>6</v>
      </c>
      <c r="C27" t="s">
        <v>7</v>
      </c>
      <c r="D27" t="s">
        <v>9</v>
      </c>
      <c r="E27">
        <v>104.111</v>
      </c>
      <c r="F27">
        <v>2</v>
      </c>
      <c r="G27">
        <v>1</v>
      </c>
      <c r="H27">
        <v>0</v>
      </c>
      <c r="I27">
        <v>0</v>
      </c>
      <c r="J27">
        <f t="shared" si="0"/>
        <v>0</v>
      </c>
      <c r="K27">
        <f t="shared" si="1"/>
        <v>0</v>
      </c>
      <c r="L27">
        <f t="shared" si="2"/>
        <v>0</v>
      </c>
      <c r="M27">
        <f t="shared" si="3"/>
        <v>0</v>
      </c>
      <c r="O27">
        <v>0</v>
      </c>
      <c r="P27">
        <v>0</v>
      </c>
      <c r="Q27">
        <f t="shared" si="4"/>
        <v>0</v>
      </c>
    </row>
    <row r="28" spans="1:17" x14ac:dyDescent="0.25">
      <c r="A28">
        <v>27</v>
      </c>
      <c r="B28" t="s">
        <v>6</v>
      </c>
      <c r="C28" t="s">
        <v>7</v>
      </c>
      <c r="D28" t="s">
        <v>9</v>
      </c>
      <c r="E28">
        <v>102.849</v>
      </c>
      <c r="F28">
        <v>3</v>
      </c>
      <c r="G28">
        <v>1</v>
      </c>
      <c r="H28">
        <v>0</v>
      </c>
      <c r="I28">
        <v>0</v>
      </c>
      <c r="J28">
        <f t="shared" si="0"/>
        <v>0</v>
      </c>
      <c r="K28">
        <f t="shared" si="1"/>
        <v>0</v>
      </c>
      <c r="L28">
        <f t="shared" si="2"/>
        <v>0</v>
      </c>
      <c r="M28">
        <f t="shared" si="3"/>
        <v>0</v>
      </c>
      <c r="O28">
        <v>0</v>
      </c>
      <c r="P28">
        <v>0</v>
      </c>
      <c r="Q28">
        <f t="shared" si="4"/>
        <v>0</v>
      </c>
    </row>
    <row r="29" spans="1:17" x14ac:dyDescent="0.25">
      <c r="A29">
        <v>28</v>
      </c>
      <c r="B29" t="s">
        <v>6</v>
      </c>
      <c r="C29" t="s">
        <v>7</v>
      </c>
      <c r="D29" t="s">
        <v>9</v>
      </c>
      <c r="E29">
        <v>104.376</v>
      </c>
      <c r="F29">
        <v>4</v>
      </c>
      <c r="G29">
        <v>1</v>
      </c>
      <c r="H29">
        <v>0</v>
      </c>
      <c r="I29">
        <v>0</v>
      </c>
      <c r="J29">
        <f t="shared" si="0"/>
        <v>0</v>
      </c>
      <c r="K29">
        <f t="shared" si="1"/>
        <v>0</v>
      </c>
      <c r="L29">
        <f t="shared" si="2"/>
        <v>0</v>
      </c>
      <c r="M29">
        <f t="shared" si="3"/>
        <v>0</v>
      </c>
      <c r="O29">
        <v>0</v>
      </c>
      <c r="P29">
        <v>0</v>
      </c>
      <c r="Q29">
        <f t="shared" si="4"/>
        <v>0</v>
      </c>
    </row>
    <row r="30" spans="1:17" x14ac:dyDescent="0.25">
      <c r="A30">
        <v>29</v>
      </c>
      <c r="B30" t="s">
        <v>6</v>
      </c>
      <c r="C30" t="s">
        <v>7</v>
      </c>
      <c r="D30" t="s">
        <v>9</v>
      </c>
      <c r="E30">
        <v>103.399</v>
      </c>
      <c r="F30">
        <v>5</v>
      </c>
      <c r="G30">
        <v>1</v>
      </c>
      <c r="H30">
        <v>0</v>
      </c>
      <c r="I30">
        <v>0</v>
      </c>
      <c r="J30">
        <f t="shared" si="0"/>
        <v>0</v>
      </c>
      <c r="K30">
        <f t="shared" si="1"/>
        <v>0</v>
      </c>
      <c r="L30">
        <f t="shared" si="2"/>
        <v>0</v>
      </c>
      <c r="M30">
        <f t="shared" si="3"/>
        <v>0</v>
      </c>
      <c r="O30">
        <v>0</v>
      </c>
      <c r="P30">
        <v>0</v>
      </c>
      <c r="Q30">
        <f t="shared" si="4"/>
        <v>0</v>
      </c>
    </row>
    <row r="31" spans="1:17" x14ac:dyDescent="0.25">
      <c r="A31">
        <v>30</v>
      </c>
      <c r="B31" t="s">
        <v>6</v>
      </c>
      <c r="C31" t="s">
        <v>7</v>
      </c>
      <c r="D31" t="s">
        <v>9</v>
      </c>
      <c r="E31">
        <v>103.708</v>
      </c>
      <c r="F31">
        <v>6</v>
      </c>
      <c r="G31">
        <v>1</v>
      </c>
      <c r="H31">
        <v>0</v>
      </c>
      <c r="I31">
        <v>0</v>
      </c>
      <c r="J31">
        <f t="shared" si="0"/>
        <v>0</v>
      </c>
      <c r="K31">
        <f t="shared" si="1"/>
        <v>0</v>
      </c>
      <c r="L31">
        <f t="shared" si="2"/>
        <v>0</v>
      </c>
      <c r="M31">
        <f t="shared" si="3"/>
        <v>0</v>
      </c>
      <c r="O31">
        <v>0</v>
      </c>
      <c r="P31">
        <v>0</v>
      </c>
      <c r="Q31">
        <f t="shared" si="4"/>
        <v>0</v>
      </c>
    </row>
    <row r="32" spans="1:17" x14ac:dyDescent="0.25">
      <c r="A32">
        <v>31</v>
      </c>
      <c r="B32" t="s">
        <v>6</v>
      </c>
      <c r="C32" t="s">
        <v>7</v>
      </c>
      <c r="D32" t="s">
        <v>19</v>
      </c>
      <c r="E32">
        <v>99.397999999999996</v>
      </c>
      <c r="F32">
        <v>7</v>
      </c>
      <c r="G32">
        <v>0</v>
      </c>
      <c r="H32">
        <v>0</v>
      </c>
      <c r="I32">
        <v>0</v>
      </c>
      <c r="J32">
        <f t="shared" si="0"/>
        <v>0</v>
      </c>
      <c r="K32">
        <f t="shared" si="1"/>
        <v>0</v>
      </c>
      <c r="L32">
        <f t="shared" si="2"/>
        <v>0</v>
      </c>
      <c r="M32">
        <f t="shared" si="3"/>
        <v>0</v>
      </c>
      <c r="O32">
        <v>0</v>
      </c>
      <c r="P32">
        <v>0</v>
      </c>
      <c r="Q32">
        <f t="shared" si="4"/>
        <v>0</v>
      </c>
    </row>
    <row r="33" spans="1:17" x14ac:dyDescent="0.25">
      <c r="A33">
        <v>32</v>
      </c>
      <c r="B33" t="s">
        <v>6</v>
      </c>
      <c r="C33" t="s">
        <v>7</v>
      </c>
      <c r="D33" t="s">
        <v>19</v>
      </c>
      <c r="E33">
        <v>101.852</v>
      </c>
      <c r="F33">
        <v>8</v>
      </c>
      <c r="G33">
        <v>0</v>
      </c>
      <c r="H33">
        <v>0</v>
      </c>
      <c r="I33">
        <v>0</v>
      </c>
      <c r="J33">
        <f t="shared" si="0"/>
        <v>0</v>
      </c>
      <c r="K33">
        <f t="shared" si="1"/>
        <v>0</v>
      </c>
      <c r="L33">
        <f t="shared" si="2"/>
        <v>0</v>
      </c>
      <c r="M33">
        <f t="shared" si="3"/>
        <v>0</v>
      </c>
      <c r="O33">
        <v>0</v>
      </c>
      <c r="P33">
        <v>0</v>
      </c>
      <c r="Q33">
        <f t="shared" si="4"/>
        <v>0</v>
      </c>
    </row>
    <row r="34" spans="1:17" x14ac:dyDescent="0.25">
      <c r="A34">
        <v>33</v>
      </c>
      <c r="B34" t="s">
        <v>6</v>
      </c>
      <c r="C34" t="s">
        <v>7</v>
      </c>
      <c r="D34" t="s">
        <v>19</v>
      </c>
      <c r="E34">
        <v>99.986999999999995</v>
      </c>
      <c r="F34">
        <v>9</v>
      </c>
      <c r="G34">
        <v>0</v>
      </c>
      <c r="H34">
        <v>0</v>
      </c>
      <c r="I34">
        <v>0</v>
      </c>
      <c r="J34">
        <f t="shared" si="0"/>
        <v>0</v>
      </c>
      <c r="K34">
        <f t="shared" si="1"/>
        <v>0</v>
      </c>
      <c r="L34">
        <f t="shared" si="2"/>
        <v>0</v>
      </c>
      <c r="M34">
        <f t="shared" si="3"/>
        <v>0</v>
      </c>
      <c r="O34">
        <v>0</v>
      </c>
      <c r="P34">
        <v>0</v>
      </c>
      <c r="Q34">
        <f t="shared" si="4"/>
        <v>0</v>
      </c>
    </row>
    <row r="35" spans="1:17" x14ac:dyDescent="0.25">
      <c r="A35">
        <v>34</v>
      </c>
      <c r="B35" t="s">
        <v>6</v>
      </c>
      <c r="C35" t="s">
        <v>7</v>
      </c>
      <c r="D35" t="s">
        <v>19</v>
      </c>
      <c r="E35">
        <v>98.941999999999993</v>
      </c>
      <c r="F35">
        <v>10</v>
      </c>
      <c r="G35">
        <v>0</v>
      </c>
      <c r="H35">
        <v>0</v>
      </c>
      <c r="I35">
        <v>0</v>
      </c>
      <c r="J35">
        <f t="shared" si="0"/>
        <v>0</v>
      </c>
      <c r="K35">
        <f t="shared" si="1"/>
        <v>0</v>
      </c>
      <c r="L35">
        <f t="shared" si="2"/>
        <v>0</v>
      </c>
      <c r="M35">
        <f t="shared" si="3"/>
        <v>0</v>
      </c>
      <c r="O35">
        <v>0</v>
      </c>
      <c r="P35">
        <v>0</v>
      </c>
      <c r="Q35">
        <f t="shared" si="4"/>
        <v>0</v>
      </c>
    </row>
    <row r="36" spans="1:17" x14ac:dyDescent="0.25">
      <c r="A36">
        <v>35</v>
      </c>
      <c r="B36" t="s">
        <v>6</v>
      </c>
      <c r="C36" t="s">
        <v>7</v>
      </c>
      <c r="D36" t="s">
        <v>19</v>
      </c>
      <c r="E36">
        <v>100.82299999999999</v>
      </c>
      <c r="F36">
        <v>11</v>
      </c>
      <c r="G36">
        <v>0</v>
      </c>
      <c r="H36">
        <v>0</v>
      </c>
      <c r="I36">
        <v>0</v>
      </c>
      <c r="J36">
        <f t="shared" si="0"/>
        <v>0</v>
      </c>
      <c r="K36">
        <f t="shared" si="1"/>
        <v>0</v>
      </c>
      <c r="L36">
        <f t="shared" si="2"/>
        <v>0</v>
      </c>
      <c r="M36">
        <f t="shared" si="3"/>
        <v>0</v>
      </c>
      <c r="O36">
        <v>0</v>
      </c>
      <c r="P36">
        <v>0</v>
      </c>
      <c r="Q36">
        <f t="shared" si="4"/>
        <v>0</v>
      </c>
    </row>
    <row r="37" spans="1:17" x14ac:dyDescent="0.25">
      <c r="A37">
        <v>36</v>
      </c>
      <c r="B37" t="s">
        <v>6</v>
      </c>
      <c r="C37" t="s">
        <v>7</v>
      </c>
      <c r="D37" t="s">
        <v>19</v>
      </c>
      <c r="E37">
        <v>98.778999999999996</v>
      </c>
      <c r="F37">
        <v>12</v>
      </c>
      <c r="G37">
        <v>0</v>
      </c>
      <c r="H37">
        <v>0</v>
      </c>
      <c r="I37">
        <v>0</v>
      </c>
      <c r="J37">
        <f t="shared" si="0"/>
        <v>0</v>
      </c>
      <c r="K37">
        <f t="shared" si="1"/>
        <v>0</v>
      </c>
      <c r="L37">
        <f t="shared" si="2"/>
        <v>0</v>
      </c>
      <c r="M37">
        <f t="shared" si="3"/>
        <v>0</v>
      </c>
      <c r="O37">
        <v>0</v>
      </c>
      <c r="P37">
        <v>0</v>
      </c>
      <c r="Q37">
        <f t="shared" si="4"/>
        <v>0</v>
      </c>
    </row>
    <row r="38" spans="1:17" x14ac:dyDescent="0.25">
      <c r="A38">
        <v>37</v>
      </c>
      <c r="B38" t="s">
        <v>6</v>
      </c>
      <c r="C38" t="s">
        <v>8</v>
      </c>
      <c r="D38" t="s">
        <v>9</v>
      </c>
      <c r="E38">
        <v>106.209</v>
      </c>
      <c r="F38">
        <v>13</v>
      </c>
      <c r="G38">
        <v>1</v>
      </c>
      <c r="H38">
        <v>1</v>
      </c>
      <c r="I38">
        <v>0</v>
      </c>
      <c r="J38">
        <f t="shared" si="0"/>
        <v>1</v>
      </c>
      <c r="K38">
        <f t="shared" si="1"/>
        <v>0</v>
      </c>
      <c r="L38">
        <f t="shared" si="2"/>
        <v>0</v>
      </c>
      <c r="M38">
        <f t="shared" si="3"/>
        <v>0</v>
      </c>
      <c r="O38">
        <v>1</v>
      </c>
      <c r="P38">
        <v>0</v>
      </c>
      <c r="Q38">
        <f t="shared" si="4"/>
        <v>0</v>
      </c>
    </row>
    <row r="39" spans="1:17" x14ac:dyDescent="0.25">
      <c r="A39">
        <v>38</v>
      </c>
      <c r="B39" t="s">
        <v>6</v>
      </c>
      <c r="C39" t="s">
        <v>8</v>
      </c>
      <c r="D39" t="s">
        <v>9</v>
      </c>
      <c r="E39">
        <v>104.04</v>
      </c>
      <c r="F39">
        <v>14</v>
      </c>
      <c r="G39">
        <v>1</v>
      </c>
      <c r="H39">
        <v>1</v>
      </c>
      <c r="I39">
        <v>0</v>
      </c>
      <c r="J39">
        <f t="shared" si="0"/>
        <v>1</v>
      </c>
      <c r="K39">
        <f t="shared" si="1"/>
        <v>0</v>
      </c>
      <c r="L39">
        <f t="shared" si="2"/>
        <v>0</v>
      </c>
      <c r="M39">
        <f t="shared" si="3"/>
        <v>0</v>
      </c>
      <c r="O39">
        <v>1</v>
      </c>
      <c r="P39">
        <v>0</v>
      </c>
      <c r="Q39">
        <f t="shared" si="4"/>
        <v>0</v>
      </c>
    </row>
    <row r="40" spans="1:17" x14ac:dyDescent="0.25">
      <c r="A40">
        <v>39</v>
      </c>
      <c r="B40" t="s">
        <v>6</v>
      </c>
      <c r="C40" t="s">
        <v>8</v>
      </c>
      <c r="D40" t="s">
        <v>9</v>
      </c>
      <c r="E40">
        <v>104.672</v>
      </c>
      <c r="F40">
        <v>15</v>
      </c>
      <c r="G40">
        <v>1</v>
      </c>
      <c r="H40">
        <v>1</v>
      </c>
      <c r="I40">
        <v>0</v>
      </c>
      <c r="J40">
        <f t="shared" si="0"/>
        <v>1</v>
      </c>
      <c r="K40">
        <f t="shared" si="1"/>
        <v>0</v>
      </c>
      <c r="L40">
        <f t="shared" si="2"/>
        <v>0</v>
      </c>
      <c r="M40">
        <f t="shared" si="3"/>
        <v>0</v>
      </c>
      <c r="O40">
        <v>1</v>
      </c>
      <c r="P40">
        <v>0</v>
      </c>
      <c r="Q40">
        <f t="shared" si="4"/>
        <v>0</v>
      </c>
    </row>
    <row r="41" spans="1:17" x14ac:dyDescent="0.25">
      <c r="A41">
        <v>40</v>
      </c>
      <c r="B41" t="s">
        <v>6</v>
      </c>
      <c r="C41" t="s">
        <v>8</v>
      </c>
      <c r="D41" t="s">
        <v>9</v>
      </c>
      <c r="E41">
        <v>106.197</v>
      </c>
      <c r="F41">
        <v>16</v>
      </c>
      <c r="G41">
        <v>1</v>
      </c>
      <c r="H41">
        <v>1</v>
      </c>
      <c r="I41">
        <v>0</v>
      </c>
      <c r="J41">
        <f t="shared" si="0"/>
        <v>1</v>
      </c>
      <c r="K41">
        <f t="shared" si="1"/>
        <v>0</v>
      </c>
      <c r="L41">
        <f t="shared" si="2"/>
        <v>0</v>
      </c>
      <c r="M41">
        <f t="shared" si="3"/>
        <v>0</v>
      </c>
      <c r="O41">
        <v>1</v>
      </c>
      <c r="P41">
        <v>0</v>
      </c>
      <c r="Q41">
        <f t="shared" si="4"/>
        <v>0</v>
      </c>
    </row>
    <row r="42" spans="1:17" x14ac:dyDescent="0.25">
      <c r="A42">
        <v>41</v>
      </c>
      <c r="B42" t="s">
        <v>6</v>
      </c>
      <c r="C42" t="s">
        <v>8</v>
      </c>
      <c r="D42" t="s">
        <v>9</v>
      </c>
      <c r="E42">
        <v>106.738</v>
      </c>
      <c r="F42">
        <v>17</v>
      </c>
      <c r="G42">
        <v>1</v>
      </c>
      <c r="H42">
        <v>1</v>
      </c>
      <c r="I42">
        <v>0</v>
      </c>
      <c r="J42">
        <f t="shared" si="0"/>
        <v>1</v>
      </c>
      <c r="K42">
        <f t="shared" si="1"/>
        <v>0</v>
      </c>
      <c r="L42">
        <f t="shared" si="2"/>
        <v>0</v>
      </c>
      <c r="M42">
        <f t="shared" si="3"/>
        <v>0</v>
      </c>
      <c r="O42">
        <v>1</v>
      </c>
      <c r="P42">
        <v>0</v>
      </c>
      <c r="Q42">
        <f t="shared" si="4"/>
        <v>0</v>
      </c>
    </row>
    <row r="43" spans="1:17" x14ac:dyDescent="0.25">
      <c r="A43">
        <v>42</v>
      </c>
      <c r="B43" t="s">
        <v>6</v>
      </c>
      <c r="C43" t="s">
        <v>8</v>
      </c>
      <c r="D43" t="s">
        <v>9</v>
      </c>
      <c r="E43">
        <v>106.17100000000001</v>
      </c>
      <c r="F43">
        <v>18</v>
      </c>
      <c r="G43">
        <v>1</v>
      </c>
      <c r="H43">
        <v>1</v>
      </c>
      <c r="I43">
        <v>0</v>
      </c>
      <c r="J43">
        <f t="shared" si="0"/>
        <v>1</v>
      </c>
      <c r="K43">
        <f t="shared" si="1"/>
        <v>0</v>
      </c>
      <c r="L43">
        <f t="shared" si="2"/>
        <v>0</v>
      </c>
      <c r="M43">
        <f t="shared" si="3"/>
        <v>0</v>
      </c>
      <c r="O43">
        <v>1</v>
      </c>
      <c r="P43">
        <v>0</v>
      </c>
      <c r="Q43">
        <f t="shared" si="4"/>
        <v>0</v>
      </c>
    </row>
    <row r="44" spans="1:17" x14ac:dyDescent="0.25">
      <c r="A44">
        <v>43</v>
      </c>
      <c r="B44" t="s">
        <v>6</v>
      </c>
      <c r="C44" t="s">
        <v>8</v>
      </c>
      <c r="D44" t="s">
        <v>19</v>
      </c>
      <c r="E44">
        <v>101.884</v>
      </c>
      <c r="F44">
        <v>19</v>
      </c>
      <c r="G44">
        <v>0</v>
      </c>
      <c r="H44">
        <v>1</v>
      </c>
      <c r="I44">
        <v>0</v>
      </c>
      <c r="J44">
        <f t="shared" si="0"/>
        <v>0</v>
      </c>
      <c r="K44">
        <f t="shared" si="1"/>
        <v>0</v>
      </c>
      <c r="L44">
        <f t="shared" si="2"/>
        <v>0</v>
      </c>
      <c r="M44">
        <f t="shared" si="3"/>
        <v>0</v>
      </c>
      <c r="O44">
        <v>1</v>
      </c>
      <c r="P44">
        <v>0</v>
      </c>
      <c r="Q44">
        <f t="shared" si="4"/>
        <v>0</v>
      </c>
    </row>
    <row r="45" spans="1:17" x14ac:dyDescent="0.25">
      <c r="A45">
        <v>44</v>
      </c>
      <c r="B45" t="s">
        <v>6</v>
      </c>
      <c r="C45" t="s">
        <v>8</v>
      </c>
      <c r="D45" t="s">
        <v>19</v>
      </c>
      <c r="E45">
        <v>101.699</v>
      </c>
      <c r="F45">
        <v>20</v>
      </c>
      <c r="G45">
        <v>0</v>
      </c>
      <c r="H45">
        <v>1</v>
      </c>
      <c r="I45">
        <v>0</v>
      </c>
      <c r="J45">
        <f t="shared" si="0"/>
        <v>0</v>
      </c>
      <c r="K45">
        <f t="shared" si="1"/>
        <v>0</v>
      </c>
      <c r="L45">
        <f t="shared" si="2"/>
        <v>0</v>
      </c>
      <c r="M45">
        <f t="shared" si="3"/>
        <v>0</v>
      </c>
      <c r="O45">
        <v>1</v>
      </c>
      <c r="P45">
        <v>0</v>
      </c>
      <c r="Q45">
        <f t="shared" si="4"/>
        <v>0</v>
      </c>
    </row>
    <row r="46" spans="1:17" x14ac:dyDescent="0.25">
      <c r="A46">
        <v>45</v>
      </c>
      <c r="B46" t="s">
        <v>6</v>
      </c>
      <c r="C46" t="s">
        <v>8</v>
      </c>
      <c r="D46" t="s">
        <v>19</v>
      </c>
      <c r="E46">
        <v>100.521</v>
      </c>
      <c r="F46">
        <v>21</v>
      </c>
      <c r="G46">
        <v>0</v>
      </c>
      <c r="H46">
        <v>1</v>
      </c>
      <c r="I46">
        <v>0</v>
      </c>
      <c r="J46">
        <f t="shared" si="0"/>
        <v>0</v>
      </c>
      <c r="K46">
        <f t="shared" si="1"/>
        <v>0</v>
      </c>
      <c r="L46">
        <f t="shared" si="2"/>
        <v>0</v>
      </c>
      <c r="M46">
        <f t="shared" si="3"/>
        <v>0</v>
      </c>
      <c r="O46">
        <v>1</v>
      </c>
      <c r="P46">
        <v>0</v>
      </c>
      <c r="Q46">
        <f t="shared" si="4"/>
        <v>0</v>
      </c>
    </row>
    <row r="47" spans="1:17" x14ac:dyDescent="0.25">
      <c r="A47">
        <v>46</v>
      </c>
      <c r="B47" t="s">
        <v>6</v>
      </c>
      <c r="C47" t="s">
        <v>8</v>
      </c>
      <c r="D47" t="s">
        <v>19</v>
      </c>
      <c r="E47">
        <v>101.28</v>
      </c>
      <c r="F47">
        <v>22</v>
      </c>
      <c r="G47">
        <v>0</v>
      </c>
      <c r="H47">
        <v>1</v>
      </c>
      <c r="I47">
        <v>0</v>
      </c>
      <c r="J47">
        <f t="shared" si="0"/>
        <v>0</v>
      </c>
      <c r="K47">
        <f t="shared" si="1"/>
        <v>0</v>
      </c>
      <c r="L47">
        <f t="shared" si="2"/>
        <v>0</v>
      </c>
      <c r="M47">
        <f t="shared" si="3"/>
        <v>0</v>
      </c>
      <c r="O47">
        <v>1</v>
      </c>
      <c r="P47">
        <v>0</v>
      </c>
      <c r="Q47">
        <f t="shared" si="4"/>
        <v>0</v>
      </c>
    </row>
    <row r="48" spans="1:17" x14ac:dyDescent="0.25">
      <c r="A48">
        <v>47</v>
      </c>
      <c r="B48" t="s">
        <v>6</v>
      </c>
      <c r="C48" t="s">
        <v>8</v>
      </c>
      <c r="D48" t="s">
        <v>19</v>
      </c>
      <c r="E48">
        <v>101.539</v>
      </c>
      <c r="F48">
        <v>23</v>
      </c>
      <c r="G48">
        <v>0</v>
      </c>
      <c r="H48">
        <v>1</v>
      </c>
      <c r="I48">
        <v>0</v>
      </c>
      <c r="J48">
        <f t="shared" si="0"/>
        <v>0</v>
      </c>
      <c r="K48">
        <f t="shared" si="1"/>
        <v>0</v>
      </c>
      <c r="L48">
        <f t="shared" si="2"/>
        <v>0</v>
      </c>
      <c r="M48">
        <f t="shared" si="3"/>
        <v>0</v>
      </c>
      <c r="O48">
        <v>1</v>
      </c>
      <c r="P48">
        <v>0</v>
      </c>
      <c r="Q48">
        <f t="shared" si="4"/>
        <v>0</v>
      </c>
    </row>
    <row r="49" spans="1:17" x14ac:dyDescent="0.25">
      <c r="A49">
        <v>48</v>
      </c>
      <c r="B49" t="s">
        <v>6</v>
      </c>
      <c r="C49" t="s">
        <v>8</v>
      </c>
      <c r="D49" t="s">
        <v>19</v>
      </c>
      <c r="E49">
        <v>103.057</v>
      </c>
      <c r="F49">
        <v>24</v>
      </c>
      <c r="G49">
        <v>0</v>
      </c>
      <c r="H49">
        <v>1</v>
      </c>
      <c r="I49">
        <v>0</v>
      </c>
      <c r="J49">
        <f t="shared" si="0"/>
        <v>0</v>
      </c>
      <c r="K49">
        <f t="shared" si="1"/>
        <v>0</v>
      </c>
      <c r="L49">
        <f t="shared" si="2"/>
        <v>0</v>
      </c>
      <c r="M49">
        <f t="shared" si="3"/>
        <v>0</v>
      </c>
      <c r="O49">
        <v>1</v>
      </c>
      <c r="P49">
        <v>0</v>
      </c>
      <c r="Q49">
        <f t="shared" si="4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activeCell="C9" sqref="C9"/>
    </sheetView>
  </sheetViews>
  <sheetFormatPr defaultRowHeight="15" x14ac:dyDescent="0.25"/>
  <cols>
    <col min="1" max="1" width="36.7109375" customWidth="1"/>
    <col min="2" max="4" width="14.7109375" customWidth="1"/>
    <col min="5" max="5" width="18.7109375" customWidth="1"/>
    <col min="6" max="6" width="70.7109375" customWidth="1"/>
  </cols>
  <sheetData>
    <row r="1" spans="1:6" s="2" customFormat="1" x14ac:dyDescent="0.25">
      <c r="A1" s="2" t="s">
        <v>10</v>
      </c>
      <c r="C1" s="2" t="s">
        <v>7</v>
      </c>
      <c r="D1" s="2" t="s">
        <v>8</v>
      </c>
      <c r="F1" s="2" t="s">
        <v>14</v>
      </c>
    </row>
    <row r="2" spans="1:6" x14ac:dyDescent="0.25">
      <c r="B2" t="s">
        <v>5</v>
      </c>
      <c r="C2" s="3">
        <f>AVERAGEIFS(dados!E:E, dados!B:B, "Tratado", dados!C:C, "Antes", dados!D:D, "Alvo")</f>
        <v>105.34366666666665</v>
      </c>
      <c r="D2" s="3">
        <f>AVERAGEIFS(dados!E:E, dados!B:B, "Tratado", dados!C:C, "Depois", dados!D:D, "Alvo")</f>
        <v>111.22383333333333</v>
      </c>
      <c r="F2" t="s">
        <v>15</v>
      </c>
    </row>
    <row r="3" spans="1:6" x14ac:dyDescent="0.25">
      <c r="B3" t="s">
        <v>6</v>
      </c>
      <c r="C3" s="3">
        <f>AVERAGEIFS(dados!E:E, dados!B:B, "Controle", dados!C:C, "Antes", dados!D:D, "Alvo")</f>
        <v>103.64983333333333</v>
      </c>
      <c r="D3" s="3">
        <f>AVERAGEIFS(dados!E:E, dados!B:B, "Controle", dados!C:C, "Depois", dados!D:D, "Alvo")</f>
        <v>105.67116666666668</v>
      </c>
    </row>
    <row r="5" spans="1:6" s="4" customFormat="1" x14ac:dyDescent="0.25">
      <c r="A5" s="4" t="s">
        <v>11</v>
      </c>
      <c r="E5" s="3">
        <f>(D2-C2)-(D3-C3)</f>
        <v>3.8588333333333367</v>
      </c>
      <c r="F5" s="4" t="s">
        <v>16</v>
      </c>
    </row>
    <row r="7" spans="1:6" s="2" customFormat="1" x14ac:dyDescent="0.25">
      <c r="A7" s="2" t="s">
        <v>20</v>
      </c>
      <c r="C7" s="2" t="s">
        <v>7</v>
      </c>
      <c r="D7" s="2" t="s">
        <v>8</v>
      </c>
    </row>
    <row r="8" spans="1:6" x14ac:dyDescent="0.25">
      <c r="B8" t="s">
        <v>5</v>
      </c>
      <c r="C8" s="3">
        <f>AVERAGEIFS(dados!E:E, dados!B:B, "Tratado", dados!C:C, "Antes", dados!D:D, "Simples")</f>
        <v>101.24849999999999</v>
      </c>
      <c r="D8" s="3">
        <f>AVERAGEIFS(dados!E:E, dados!B:B, "Tratado", dados!C:C, "Depois", dados!D:D, "Simples")</f>
        <v>103.59383333333335</v>
      </c>
    </row>
    <row r="9" spans="1:6" x14ac:dyDescent="0.25">
      <c r="B9" t="s">
        <v>6</v>
      </c>
      <c r="C9" s="3">
        <f>AVERAGEIFS(dados!E:E, dados!B:B, "Controle", dados!C:C, "Antes", dados!D:D, "Simples")</f>
        <v>99.963499999999996</v>
      </c>
      <c r="D9" s="3">
        <f>AVERAGEIFS(dados!E:E, dados!B:B, "Controle", dados!C:C, "Depois", dados!D:D, "Simples")</f>
        <v>101.66333333333334</v>
      </c>
    </row>
    <row r="11" spans="1:6" s="4" customFormat="1" x14ac:dyDescent="0.25">
      <c r="A11" s="4" t="s">
        <v>12</v>
      </c>
      <c r="E11" s="3">
        <f>(D8-C8)-(D9-C9)</f>
        <v>0.64550000000001262</v>
      </c>
      <c r="F11" s="4" t="s">
        <v>17</v>
      </c>
    </row>
    <row r="13" spans="1:6" s="4" customFormat="1" x14ac:dyDescent="0.25">
      <c r="A13" s="4" t="s">
        <v>13</v>
      </c>
      <c r="E13" s="3">
        <f>(E5)-(E11)</f>
        <v>3.213333333333324</v>
      </c>
      <c r="F13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DDD</vt:lpstr>
      <vt:lpstr>DD</vt:lpstr>
      <vt:lpstr>dados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Caio Lopes</cp:lastModifiedBy>
  <dcterms:created xsi:type="dcterms:W3CDTF">2025-11-03T12:35:52Z</dcterms:created>
  <dcterms:modified xsi:type="dcterms:W3CDTF">2025-11-05T15:19:11Z</dcterms:modified>
</cp:coreProperties>
</file>