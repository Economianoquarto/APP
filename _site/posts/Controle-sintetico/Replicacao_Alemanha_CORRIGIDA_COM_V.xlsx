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f01953baf6c2ab2/Documentos/R/R_projects/economia_no_quarto/APP/posts/Controle-sintetico/"/>
    </mc:Choice>
  </mc:AlternateContent>
  <xr:revisionPtr revIDLastSave="0" documentId="8_{776F4BAD-9904-400E-81BF-33D923D9AB9A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Dados" sheetId="5" r:id="rId1"/>
    <sheet name="Pesos Países (W)" sheetId="1" r:id="rId2"/>
    <sheet name="Pesos Preditores (V)" sheetId="2" r:id="rId3"/>
    <sheet name="Dados-Industry" sheetId="7" r:id="rId4"/>
    <sheet name="Dados-Trade" sheetId="8" r:id="rId5"/>
    <sheet name="Dados-Infrate" sheetId="9" r:id="rId6"/>
    <sheet name="Dados-Schooling" sheetId="10" r:id="rId7"/>
    <sheet name="Dados-Invest80" sheetId="11" r:id="rId8"/>
    <sheet name="Match Preditores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5" l="1"/>
  <c r="C4" i="3"/>
  <c r="B4" i="3"/>
  <c r="D50" i="5"/>
  <c r="D49" i="5"/>
  <c r="D48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2" i="5"/>
  <c r="S2" i="5" a="1"/>
  <c r="S2" i="5" s="1"/>
  <c r="C21" i="1"/>
  <c r="F9" i="3"/>
  <c r="D9" i="3"/>
  <c r="E9" i="3" s="1"/>
  <c r="F8" i="3"/>
  <c r="D8" i="3"/>
  <c r="E8" i="3" s="1"/>
  <c r="F7" i="3"/>
  <c r="D7" i="3"/>
  <c r="E7" i="3" s="1"/>
  <c r="F6" i="3"/>
  <c r="D6" i="3"/>
  <c r="E6" i="3" s="1"/>
  <c r="F5" i="3"/>
  <c r="D5" i="3"/>
  <c r="E5" i="3" s="1"/>
  <c r="G5" i="3" s="1"/>
  <c r="F4" i="3"/>
  <c r="C11" i="2"/>
  <c r="D4" i="3" l="1"/>
  <c r="E4" i="3" s="1"/>
  <c r="G8" i="3"/>
  <c r="G6" i="3"/>
  <c r="G4" i="3"/>
  <c r="G10" i="3" s="1"/>
  <c r="G7" i="3"/>
  <c r="G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tc={795EE9A3-0373-4794-8100-45F15E119B94}</author>
  </authors>
  <commentList>
    <comment ref="B3" authorId="0" shapeId="0" xr:uid="{795EE9A3-0373-4794-8100-45F15E119B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R COMPUTA-SE DE MANEIRA NORMALIZADA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<sst xmlns="http://schemas.openxmlformats.org/spreadsheetml/2006/main" count="166" uniqueCount="50">
  <si>
    <t>PESOS ÓTIMOS DOS PAÍSES (W)</t>
  </si>
  <si>
    <t>Index</t>
  </si>
  <si>
    <t>País</t>
  </si>
  <si>
    <t>Peso (w)</t>
  </si>
  <si>
    <t>USA</t>
  </si>
  <si>
    <t>UK</t>
  </si>
  <si>
    <t>Austria</t>
  </si>
  <si>
    <t>Belgium</t>
  </si>
  <si>
    <t>Denmark</t>
  </si>
  <si>
    <t>France</t>
  </si>
  <si>
    <t>Italy</t>
  </si>
  <si>
    <t>Netherlands</t>
  </si>
  <si>
    <t>Norway</t>
  </si>
  <si>
    <t>Switzerland</t>
  </si>
  <si>
    <t>Japan</t>
  </si>
  <si>
    <t>Greece</t>
  </si>
  <si>
    <t>Portugal</t>
  </si>
  <si>
    <t>Spain</t>
  </si>
  <si>
    <t>Australia</t>
  </si>
  <si>
    <t>New Zealand</t>
  </si>
  <si>
    <t>SOMA:</t>
  </si>
  <si>
    <t>PESOS ÓTIMOS DOS PREDITORES (V)</t>
  </si>
  <si>
    <t>#</t>
  </si>
  <si>
    <t>Preditor</t>
  </si>
  <si>
    <t>Peso V</t>
  </si>
  <si>
    <t>GDP (média 1981-1990)</t>
  </si>
  <si>
    <t>Trade (média 1981-1990)</t>
  </si>
  <si>
    <t>Infrate (média 1981-1990)</t>
  </si>
  <si>
    <t>Industry (média 1981-1990)</t>
  </si>
  <si>
    <t>Schooling (média 1980,1985)</t>
  </si>
  <si>
    <t>Invest80 (1980)</t>
  </si>
  <si>
    <t>CÁLCULO DO SCORE DE MINIMIZAÇÃO (SSR) - PONDERADO POR V</t>
  </si>
  <si>
    <t>Alemanha Real</t>
  </si>
  <si>
    <t>Alemanha Sintética</t>
  </si>
  <si>
    <t>Diferença</t>
  </si>
  <si>
    <t>Diferença²</t>
  </si>
  <si>
    <t>Diferença² × V</t>
  </si>
  <si>
    <t>Ano</t>
  </si>
  <si>
    <t>West Germany</t>
  </si>
  <si>
    <t>Gap (Efeito)</t>
  </si>
  <si>
    <t>Gap²</t>
  </si>
  <si>
    <t>RMSPE Pré (1960-1989):</t>
  </si>
  <si>
    <t>RMSPE Pós (1990-2003):</t>
  </si>
  <si>
    <t>MSPE</t>
  </si>
  <si>
    <t>DADOS: 4. DADOS-INDUSTRY</t>
  </si>
  <si>
    <t>DADOS: 2. DADOS-TRADE</t>
  </si>
  <si>
    <t>DADOS: 3. DADOS-INFRATE</t>
  </si>
  <si>
    <t>DADOS: 5. DADOS-SCHOOLING</t>
  </si>
  <si>
    <t>DADOS: 6B. DADOS-INVEST80</t>
  </si>
  <si>
    <t>Alemanha Sintetica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</si>
</sst>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1F4E78"/>
      <name val="Calibri"/>
    </font>
    <font>
      <sz val="10"/>
      <color rgb="FF000000"/>
      <name val="Lucida Console"/>
      <family val="3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</font>
    <font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4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/>
    </xf>
    <xf numFmtId="0" fontId="7" fillId="5" borderId="0" xfId="0" applyFont="1" applyFill="1"/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" fontId="8" fillId="8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Lopes" id="{F0307B69-9F57-4573-874B-6532073D302C}" userId="6f01953baf6c2ab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12T13:47:02.75" personId="{F0307B69-9F57-4573-874B-6532073D302C}" id="{795EE9A3-0373-4794-8100-45F15E119B94}">
    <text>NO R COMPUTA-SE DE MANEIRA NORMALIZADA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1A93-F939-4BB9-B7D5-B3808C89A4B9}">
  <dimension ref="A1:U50"/>
  <sheetViews>
    <sheetView topLeftCell="A41" workbookViewId="0">
      <selection activeCell="Y8" sqref="Y8"/>
    </sheetView>
  </sheetViews>
  <sheetFormatPr defaultRowHeight="15" x14ac:dyDescent="0.25"/>
  <cols>
    <col min="19" max="19" width="18.42578125" bestFit="1" customWidth="1"/>
    <col min="20" max="20" width="11.7109375" bestFit="1" customWidth="1"/>
  </cols>
  <sheetData>
    <row r="1" spans="1:21" x14ac:dyDescent="0.25">
      <c r="A1" s="12" t="s">
        <v>37</v>
      </c>
      <c r="B1" s="12" t="s">
        <v>38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33</v>
      </c>
      <c r="T1" s="12" t="s">
        <v>39</v>
      </c>
      <c r="U1" s="12" t="s">
        <v>40</v>
      </c>
    </row>
    <row r="2" spans="1:21" x14ac:dyDescent="0.25">
      <c r="A2">
        <v>1960</v>
      </c>
      <c r="B2" s="13">
        <v>2284</v>
      </c>
      <c r="C2">
        <v>2879</v>
      </c>
      <c r="D2">
        <v>2158</v>
      </c>
      <c r="E2">
        <v>1796</v>
      </c>
      <c r="F2">
        <v>1782</v>
      </c>
      <c r="G2">
        <v>2329</v>
      </c>
      <c r="H2">
        <v>1858</v>
      </c>
      <c r="I2">
        <v>1620</v>
      </c>
      <c r="J2">
        <v>2113</v>
      </c>
      <c r="K2">
        <v>1713</v>
      </c>
      <c r="L2">
        <v>3387</v>
      </c>
      <c r="M2">
        <v>1010</v>
      </c>
      <c r="N2">
        <v>707</v>
      </c>
      <c r="O2">
        <v>728</v>
      </c>
      <c r="P2">
        <v>1074</v>
      </c>
      <c r="Q2">
        <v>2373</v>
      </c>
      <c r="R2">
        <v>2545</v>
      </c>
      <c r="S2" cm="1">
        <f t="array" ref="S2:S45">MMULT(C2:R45,'Pesos Países (W)'!C4:C19)</f>
        <v>2117.0057966263003</v>
      </c>
      <c r="T2">
        <f>B2-S2</f>
        <v>166.99420337369975</v>
      </c>
      <c r="U2">
        <f>T2^2</f>
        <v>27887.063960416592</v>
      </c>
    </row>
    <row r="3" spans="1:21" x14ac:dyDescent="0.25">
      <c r="A3">
        <v>1961</v>
      </c>
      <c r="B3" s="13">
        <v>2388</v>
      </c>
      <c r="C3">
        <v>2929</v>
      </c>
      <c r="D3">
        <v>2216</v>
      </c>
      <c r="E3">
        <v>1899</v>
      </c>
      <c r="F3">
        <v>1883</v>
      </c>
      <c r="G3">
        <v>2485</v>
      </c>
      <c r="H3">
        <v>1959</v>
      </c>
      <c r="I3">
        <v>1763</v>
      </c>
      <c r="J3">
        <v>2111</v>
      </c>
      <c r="K3">
        <v>1823</v>
      </c>
      <c r="L3">
        <v>3625</v>
      </c>
      <c r="M3">
        <v>1143</v>
      </c>
      <c r="N3">
        <v>1028</v>
      </c>
      <c r="O3">
        <v>783</v>
      </c>
      <c r="P3">
        <v>1201</v>
      </c>
      <c r="Q3">
        <v>2346</v>
      </c>
      <c r="R3">
        <v>2659</v>
      </c>
      <c r="S3">
        <v>2218.6531935132998</v>
      </c>
      <c r="T3">
        <f t="shared" ref="T3:T45" si="0">B3-S3</f>
        <v>169.34680648670019</v>
      </c>
      <c r="U3">
        <f t="shared" ref="U3:U45" si="1">T3^2</f>
        <v>28678.340867243882</v>
      </c>
    </row>
    <row r="4" spans="1:21" x14ac:dyDescent="0.25">
      <c r="A4">
        <v>1962</v>
      </c>
      <c r="B4" s="13">
        <v>2527</v>
      </c>
      <c r="C4">
        <v>3103</v>
      </c>
      <c r="D4">
        <v>2276</v>
      </c>
      <c r="E4">
        <v>1977</v>
      </c>
      <c r="F4">
        <v>2018</v>
      </c>
      <c r="G4">
        <v>2665</v>
      </c>
      <c r="H4">
        <v>2099</v>
      </c>
      <c r="I4">
        <v>1900</v>
      </c>
      <c r="J4">
        <v>2275</v>
      </c>
      <c r="K4">
        <v>1905</v>
      </c>
      <c r="L4">
        <v>3788</v>
      </c>
      <c r="M4">
        <v>1262</v>
      </c>
      <c r="N4">
        <v>1049</v>
      </c>
      <c r="O4">
        <v>848</v>
      </c>
      <c r="P4">
        <v>1335</v>
      </c>
      <c r="Q4">
        <v>2539</v>
      </c>
      <c r="R4">
        <v>2713</v>
      </c>
      <c r="S4">
        <v>2341.5266453568001</v>
      </c>
      <c r="T4">
        <f t="shared" si="0"/>
        <v>185.47335464319985</v>
      </c>
      <c r="U4">
        <f t="shared" si="1"/>
        <v>34400.365282602186</v>
      </c>
    </row>
    <row r="5" spans="1:21" x14ac:dyDescent="0.25">
      <c r="A5">
        <v>1963</v>
      </c>
      <c r="B5" s="13">
        <v>2610</v>
      </c>
      <c r="C5">
        <v>3227</v>
      </c>
      <c r="D5">
        <v>2386</v>
      </c>
      <c r="E5">
        <v>2074</v>
      </c>
      <c r="F5">
        <v>2122</v>
      </c>
      <c r="G5">
        <v>2700</v>
      </c>
      <c r="H5">
        <v>2205</v>
      </c>
      <c r="I5">
        <v>2021</v>
      </c>
      <c r="J5">
        <v>2360</v>
      </c>
      <c r="K5">
        <v>1991</v>
      </c>
      <c r="L5">
        <v>3946</v>
      </c>
      <c r="M5">
        <v>1374</v>
      </c>
      <c r="N5">
        <v>1188</v>
      </c>
      <c r="O5">
        <v>905</v>
      </c>
      <c r="P5">
        <v>1467</v>
      </c>
      <c r="Q5">
        <v>2717</v>
      </c>
      <c r="R5">
        <v>2866</v>
      </c>
      <c r="S5">
        <v>2452.5163681180002</v>
      </c>
      <c r="T5">
        <f t="shared" si="0"/>
        <v>157.48363188199983</v>
      </c>
      <c r="U5">
        <f t="shared" si="1"/>
        <v>24801.094310745233</v>
      </c>
    </row>
    <row r="6" spans="1:21" x14ac:dyDescent="0.25">
      <c r="A6">
        <v>1964</v>
      </c>
      <c r="B6" s="13">
        <v>2806</v>
      </c>
      <c r="C6">
        <v>3420</v>
      </c>
      <c r="D6">
        <v>2534</v>
      </c>
      <c r="E6">
        <v>2224</v>
      </c>
      <c r="F6">
        <v>2288</v>
      </c>
      <c r="G6">
        <v>2980</v>
      </c>
      <c r="H6">
        <v>2367</v>
      </c>
      <c r="I6">
        <v>2093</v>
      </c>
      <c r="J6">
        <v>2566</v>
      </c>
      <c r="K6">
        <v>2112</v>
      </c>
      <c r="L6">
        <v>4158</v>
      </c>
      <c r="M6">
        <v>1546</v>
      </c>
      <c r="N6">
        <v>1316</v>
      </c>
      <c r="O6">
        <v>979</v>
      </c>
      <c r="P6">
        <v>1554</v>
      </c>
      <c r="Q6">
        <v>2873</v>
      </c>
      <c r="R6">
        <v>3001</v>
      </c>
      <c r="S6">
        <v>2627.3277911650002</v>
      </c>
      <c r="T6">
        <f t="shared" si="0"/>
        <v>178.67220883499976</v>
      </c>
      <c r="U6">
        <f t="shared" si="1"/>
        <v>31923.758209977768</v>
      </c>
    </row>
    <row r="7" spans="1:21" x14ac:dyDescent="0.25">
      <c r="A7">
        <v>1965</v>
      </c>
      <c r="B7" s="13">
        <v>3005</v>
      </c>
      <c r="C7">
        <v>3667</v>
      </c>
      <c r="D7">
        <v>2660</v>
      </c>
      <c r="E7">
        <v>2336</v>
      </c>
      <c r="F7">
        <v>2414</v>
      </c>
      <c r="G7">
        <v>3177</v>
      </c>
      <c r="H7">
        <v>2526</v>
      </c>
      <c r="I7">
        <v>2205</v>
      </c>
      <c r="J7">
        <v>2739</v>
      </c>
      <c r="K7">
        <v>2268</v>
      </c>
      <c r="L7">
        <v>4360</v>
      </c>
      <c r="M7">
        <v>1647</v>
      </c>
      <c r="N7">
        <v>1492</v>
      </c>
      <c r="O7">
        <v>1084</v>
      </c>
      <c r="P7">
        <v>1678</v>
      </c>
      <c r="Q7">
        <v>2973</v>
      </c>
      <c r="R7">
        <v>3224</v>
      </c>
      <c r="S7">
        <v>2782.9171096874998</v>
      </c>
      <c r="T7">
        <f t="shared" si="0"/>
        <v>222.08289031250024</v>
      </c>
      <c r="U7">
        <f t="shared" si="1"/>
        <v>49320.81016955401</v>
      </c>
    </row>
    <row r="8" spans="1:21" x14ac:dyDescent="0.25">
      <c r="A8">
        <v>1966</v>
      </c>
      <c r="B8" s="13">
        <v>3168</v>
      </c>
      <c r="C8">
        <v>3974</v>
      </c>
      <c r="D8">
        <v>2794</v>
      </c>
      <c r="E8">
        <v>2537</v>
      </c>
      <c r="F8">
        <v>2559</v>
      </c>
      <c r="G8">
        <v>3377</v>
      </c>
      <c r="H8">
        <v>2728</v>
      </c>
      <c r="I8">
        <v>2400</v>
      </c>
      <c r="J8">
        <v>2874</v>
      </c>
      <c r="K8">
        <v>2417</v>
      </c>
      <c r="L8">
        <v>4575</v>
      </c>
      <c r="M8">
        <v>1889</v>
      </c>
      <c r="N8">
        <v>1634</v>
      </c>
      <c r="O8">
        <v>1170</v>
      </c>
      <c r="P8">
        <v>1841</v>
      </c>
      <c r="Q8">
        <v>3230</v>
      </c>
      <c r="R8">
        <v>3481</v>
      </c>
      <c r="S8">
        <v>3008.8722923988998</v>
      </c>
      <c r="T8">
        <f t="shared" si="0"/>
        <v>159.12770760110016</v>
      </c>
      <c r="U8">
        <f t="shared" si="1"/>
        <v>25321.627326381229</v>
      </c>
    </row>
    <row r="9" spans="1:21" x14ac:dyDescent="0.25">
      <c r="A9">
        <v>1967</v>
      </c>
      <c r="B9" s="13">
        <v>3241</v>
      </c>
      <c r="C9">
        <v>4154</v>
      </c>
      <c r="D9">
        <v>2923</v>
      </c>
      <c r="E9">
        <v>2668</v>
      </c>
      <c r="F9">
        <v>2719</v>
      </c>
      <c r="G9">
        <v>3580</v>
      </c>
      <c r="H9">
        <v>2915</v>
      </c>
      <c r="I9">
        <v>2624</v>
      </c>
      <c r="J9">
        <v>3078</v>
      </c>
      <c r="K9">
        <v>2620</v>
      </c>
      <c r="L9">
        <v>4790</v>
      </c>
      <c r="M9">
        <v>2133</v>
      </c>
      <c r="N9">
        <v>1754</v>
      </c>
      <c r="O9">
        <v>1293</v>
      </c>
      <c r="P9">
        <v>1954</v>
      </c>
      <c r="Q9">
        <v>3404</v>
      </c>
      <c r="R9">
        <v>3360</v>
      </c>
      <c r="S9">
        <v>3184.1849935631003</v>
      </c>
      <c r="T9">
        <f t="shared" si="0"/>
        <v>56.815006436899694</v>
      </c>
      <c r="U9">
        <f t="shared" si="1"/>
        <v>3227.9449564249535</v>
      </c>
    </row>
    <row r="10" spans="1:21" x14ac:dyDescent="0.25">
      <c r="A10">
        <v>1968</v>
      </c>
      <c r="B10" s="13">
        <v>3571</v>
      </c>
      <c r="C10">
        <v>4494</v>
      </c>
      <c r="D10">
        <v>3173</v>
      </c>
      <c r="E10">
        <v>2908</v>
      </c>
      <c r="F10">
        <v>2958</v>
      </c>
      <c r="G10">
        <v>3892</v>
      </c>
      <c r="H10">
        <v>3163</v>
      </c>
      <c r="I10">
        <v>2910</v>
      </c>
      <c r="J10">
        <v>3399</v>
      </c>
      <c r="K10">
        <v>2784</v>
      </c>
      <c r="L10">
        <v>5138</v>
      </c>
      <c r="M10">
        <v>2496</v>
      </c>
      <c r="N10">
        <v>1967</v>
      </c>
      <c r="O10">
        <v>1475</v>
      </c>
      <c r="P10">
        <v>2160</v>
      </c>
      <c r="Q10">
        <v>3788</v>
      </c>
      <c r="R10">
        <v>3489</v>
      </c>
      <c r="S10">
        <v>3484.5122915935017</v>
      </c>
      <c r="T10">
        <f t="shared" si="0"/>
        <v>86.487708406498314</v>
      </c>
      <c r="U10">
        <f t="shared" si="1"/>
        <v>7480.1237054074791</v>
      </c>
    </row>
    <row r="11" spans="1:21" x14ac:dyDescent="0.25">
      <c r="A11">
        <v>1969</v>
      </c>
      <c r="B11" s="13">
        <v>3998</v>
      </c>
      <c r="C11">
        <v>4805</v>
      </c>
      <c r="D11">
        <v>3391</v>
      </c>
      <c r="E11">
        <v>3239</v>
      </c>
      <c r="F11">
        <v>3308</v>
      </c>
      <c r="G11">
        <v>4352</v>
      </c>
      <c r="H11">
        <v>3531</v>
      </c>
      <c r="I11">
        <v>3227</v>
      </c>
      <c r="J11">
        <v>3951</v>
      </c>
      <c r="K11">
        <v>3035</v>
      </c>
      <c r="L11">
        <v>5645</v>
      </c>
      <c r="M11">
        <v>2917</v>
      </c>
      <c r="N11">
        <v>2298</v>
      </c>
      <c r="O11">
        <v>1592</v>
      </c>
      <c r="P11">
        <v>2447</v>
      </c>
      <c r="Q11">
        <v>4162</v>
      </c>
      <c r="R11">
        <v>3969</v>
      </c>
      <c r="S11">
        <v>3864.6635801417992</v>
      </c>
      <c r="T11">
        <f t="shared" si="0"/>
        <v>133.33641985820077</v>
      </c>
      <c r="U11">
        <f t="shared" si="1"/>
        <v>17778.600860602397</v>
      </c>
    </row>
    <row r="12" spans="1:21" x14ac:dyDescent="0.25">
      <c r="A12">
        <v>1970</v>
      </c>
      <c r="B12" s="13">
        <v>4367</v>
      </c>
      <c r="C12">
        <v>4999</v>
      </c>
      <c r="D12">
        <v>3615</v>
      </c>
      <c r="E12">
        <v>3732</v>
      </c>
      <c r="F12">
        <v>3797</v>
      </c>
      <c r="G12">
        <v>4541</v>
      </c>
      <c r="H12">
        <v>3857</v>
      </c>
      <c r="I12">
        <v>3602</v>
      </c>
      <c r="J12">
        <v>4342</v>
      </c>
      <c r="K12">
        <v>3213</v>
      </c>
      <c r="L12">
        <v>6382</v>
      </c>
      <c r="M12">
        <v>3293</v>
      </c>
      <c r="N12">
        <v>2631</v>
      </c>
      <c r="O12">
        <v>1916</v>
      </c>
      <c r="P12">
        <v>2715</v>
      </c>
      <c r="Q12">
        <v>4490</v>
      </c>
      <c r="R12">
        <v>4136</v>
      </c>
      <c r="S12">
        <v>4290.6891876565996</v>
      </c>
      <c r="T12">
        <f t="shared" si="0"/>
        <v>76.310812343400357</v>
      </c>
      <c r="U12">
        <f t="shared" si="1"/>
        <v>5823.3400805096644</v>
      </c>
    </row>
    <row r="13" spans="1:21" x14ac:dyDescent="0.25">
      <c r="A13">
        <v>1971</v>
      </c>
      <c r="B13" s="13">
        <v>4686</v>
      </c>
      <c r="C13">
        <v>5362</v>
      </c>
      <c r="D13">
        <v>3854</v>
      </c>
      <c r="E13">
        <v>4100</v>
      </c>
      <c r="F13">
        <v>4129</v>
      </c>
      <c r="G13">
        <v>4858</v>
      </c>
      <c r="H13">
        <v>4203</v>
      </c>
      <c r="I13">
        <v>3834</v>
      </c>
      <c r="J13">
        <v>4705</v>
      </c>
      <c r="K13">
        <v>3523</v>
      </c>
      <c r="L13">
        <v>6938</v>
      </c>
      <c r="M13">
        <v>3575</v>
      </c>
      <c r="N13">
        <v>2988</v>
      </c>
      <c r="O13">
        <v>2153</v>
      </c>
      <c r="P13">
        <v>2951</v>
      </c>
      <c r="Q13">
        <v>4677</v>
      </c>
      <c r="R13">
        <v>4438</v>
      </c>
      <c r="S13">
        <v>4664.162816218598</v>
      </c>
      <c r="T13">
        <f t="shared" si="0"/>
        <v>21.837183781402018</v>
      </c>
      <c r="U13">
        <f t="shared" si="1"/>
        <v>476.86259550272734</v>
      </c>
    </row>
    <row r="14" spans="1:21" x14ac:dyDescent="0.25">
      <c r="A14">
        <v>1972</v>
      </c>
      <c r="B14" s="13">
        <v>5055</v>
      </c>
      <c r="C14">
        <v>5838</v>
      </c>
      <c r="D14">
        <v>4149</v>
      </c>
      <c r="E14">
        <v>4513</v>
      </c>
      <c r="F14">
        <v>4512</v>
      </c>
      <c r="G14">
        <v>5262</v>
      </c>
      <c r="H14">
        <v>4535</v>
      </c>
      <c r="I14">
        <v>4101</v>
      </c>
      <c r="J14">
        <v>4984</v>
      </c>
      <c r="K14">
        <v>3814</v>
      </c>
      <c r="L14">
        <v>7406</v>
      </c>
      <c r="M14">
        <v>3988</v>
      </c>
      <c r="N14">
        <v>3383</v>
      </c>
      <c r="O14">
        <v>2420</v>
      </c>
      <c r="P14">
        <v>3293</v>
      </c>
      <c r="Q14">
        <v>5013</v>
      </c>
      <c r="R14">
        <v>4780</v>
      </c>
      <c r="S14">
        <v>5084.4453231817006</v>
      </c>
      <c r="T14">
        <f t="shared" si="0"/>
        <v>-29.445323181700587</v>
      </c>
      <c r="U14">
        <f t="shared" si="1"/>
        <v>867.02705727479395</v>
      </c>
    </row>
    <row r="15" spans="1:21" x14ac:dyDescent="0.25">
      <c r="A15">
        <v>1973</v>
      </c>
      <c r="B15" s="13">
        <v>5553</v>
      </c>
      <c r="C15">
        <v>6464</v>
      </c>
      <c r="D15">
        <v>4683</v>
      </c>
      <c r="E15">
        <v>4969</v>
      </c>
      <c r="F15">
        <v>5039</v>
      </c>
      <c r="G15">
        <v>5719</v>
      </c>
      <c r="H15">
        <v>5008</v>
      </c>
      <c r="I15">
        <v>4594</v>
      </c>
      <c r="J15">
        <v>5475</v>
      </c>
      <c r="K15">
        <v>4138</v>
      </c>
      <c r="L15">
        <v>7998</v>
      </c>
      <c r="M15">
        <v>4491</v>
      </c>
      <c r="N15">
        <v>3844</v>
      </c>
      <c r="O15">
        <v>2845</v>
      </c>
      <c r="P15">
        <v>3710</v>
      </c>
      <c r="Q15">
        <v>5595</v>
      </c>
      <c r="R15">
        <v>5335</v>
      </c>
      <c r="S15">
        <v>5603.4049346279007</v>
      </c>
      <c r="T15">
        <f t="shared" si="0"/>
        <v>-50.40493462790073</v>
      </c>
      <c r="U15">
        <f t="shared" si="1"/>
        <v>2540.6574348429463</v>
      </c>
    </row>
    <row r="16" spans="1:21" x14ac:dyDescent="0.25">
      <c r="A16">
        <v>1974</v>
      </c>
      <c r="B16" s="13">
        <v>6074</v>
      </c>
      <c r="C16">
        <v>6951</v>
      </c>
      <c r="D16">
        <v>5036</v>
      </c>
      <c r="E16">
        <v>5622</v>
      </c>
      <c r="F16">
        <v>5707</v>
      </c>
      <c r="G16">
        <v>6121</v>
      </c>
      <c r="H16">
        <v>5594</v>
      </c>
      <c r="I16">
        <v>5240</v>
      </c>
      <c r="J16">
        <v>6165</v>
      </c>
      <c r="K16">
        <v>4728</v>
      </c>
      <c r="L16">
        <v>8800</v>
      </c>
      <c r="M16">
        <v>4778</v>
      </c>
      <c r="N16">
        <v>3907</v>
      </c>
      <c r="O16">
        <v>3048</v>
      </c>
      <c r="P16">
        <v>4227</v>
      </c>
      <c r="Q16">
        <v>6024</v>
      </c>
      <c r="R16">
        <v>6041</v>
      </c>
      <c r="S16">
        <v>6182.1708391063012</v>
      </c>
      <c r="T16">
        <f t="shared" si="0"/>
        <v>-108.17083910630117</v>
      </c>
      <c r="U16">
        <f t="shared" si="1"/>
        <v>11700.930432961295</v>
      </c>
    </row>
    <row r="17" spans="1:21" x14ac:dyDescent="0.25">
      <c r="A17">
        <v>1975</v>
      </c>
      <c r="B17" s="13">
        <v>6603</v>
      </c>
      <c r="C17">
        <v>7519</v>
      </c>
      <c r="D17">
        <v>5481</v>
      </c>
      <c r="E17">
        <v>6147</v>
      </c>
      <c r="F17">
        <v>6146</v>
      </c>
      <c r="G17">
        <v>6565</v>
      </c>
      <c r="H17">
        <v>6077</v>
      </c>
      <c r="I17">
        <v>5601</v>
      </c>
      <c r="J17">
        <v>6699</v>
      </c>
      <c r="K17">
        <v>5458</v>
      </c>
      <c r="L17">
        <v>8934</v>
      </c>
      <c r="M17">
        <v>5300</v>
      </c>
      <c r="N17">
        <v>4505</v>
      </c>
      <c r="O17">
        <v>3045</v>
      </c>
      <c r="P17">
        <v>4600</v>
      </c>
      <c r="Q17">
        <v>6683</v>
      </c>
      <c r="R17">
        <v>6382</v>
      </c>
      <c r="S17">
        <v>6672.8810232986989</v>
      </c>
      <c r="T17">
        <f t="shared" si="0"/>
        <v>-69.881023298698892</v>
      </c>
      <c r="U17">
        <f t="shared" si="1"/>
        <v>4883.357417273297</v>
      </c>
    </row>
    <row r="18" spans="1:21" x14ac:dyDescent="0.25">
      <c r="A18">
        <v>1976</v>
      </c>
      <c r="B18" s="13">
        <v>7367</v>
      </c>
      <c r="C18">
        <v>8300</v>
      </c>
      <c r="D18">
        <v>5953</v>
      </c>
      <c r="E18">
        <v>6810</v>
      </c>
      <c r="F18">
        <v>6854</v>
      </c>
      <c r="G18">
        <v>7371</v>
      </c>
      <c r="H18">
        <v>6673</v>
      </c>
      <c r="I18">
        <v>6288</v>
      </c>
      <c r="J18">
        <v>7345</v>
      </c>
      <c r="K18">
        <v>6116</v>
      </c>
      <c r="L18">
        <v>9368</v>
      </c>
      <c r="M18">
        <v>5768</v>
      </c>
      <c r="N18">
        <v>5024</v>
      </c>
      <c r="O18">
        <v>3407</v>
      </c>
      <c r="P18">
        <v>4965</v>
      </c>
      <c r="Q18">
        <v>7140</v>
      </c>
      <c r="R18">
        <v>6748</v>
      </c>
      <c r="S18">
        <v>7303.860850186099</v>
      </c>
      <c r="T18">
        <f t="shared" si="0"/>
        <v>63.139149813900985</v>
      </c>
      <c r="U18">
        <f t="shared" si="1"/>
        <v>3986.5522392222329</v>
      </c>
    </row>
    <row r="19" spans="1:21" x14ac:dyDescent="0.25">
      <c r="A19">
        <v>1977</v>
      </c>
      <c r="B19" s="13">
        <v>8090</v>
      </c>
      <c r="C19">
        <v>9146</v>
      </c>
      <c r="D19">
        <v>6489</v>
      </c>
      <c r="E19">
        <v>7588</v>
      </c>
      <c r="F19">
        <v>7326</v>
      </c>
      <c r="G19">
        <v>7901</v>
      </c>
      <c r="H19">
        <v>7292</v>
      </c>
      <c r="I19">
        <v>6821</v>
      </c>
      <c r="J19">
        <v>7959</v>
      </c>
      <c r="K19">
        <v>6742</v>
      </c>
      <c r="L19">
        <v>10240</v>
      </c>
      <c r="M19">
        <v>6344</v>
      </c>
      <c r="N19">
        <v>5417</v>
      </c>
      <c r="O19">
        <v>3784</v>
      </c>
      <c r="P19">
        <v>5364</v>
      </c>
      <c r="Q19">
        <v>7482</v>
      </c>
      <c r="R19">
        <v>6867</v>
      </c>
      <c r="S19">
        <v>8058.9315512392004</v>
      </c>
      <c r="T19">
        <f t="shared" si="0"/>
        <v>31.068448760799583</v>
      </c>
      <c r="U19">
        <f t="shared" si="1"/>
        <v>965.24850840242914</v>
      </c>
    </row>
    <row r="20" spans="1:21" x14ac:dyDescent="0.25">
      <c r="A20">
        <v>1978</v>
      </c>
      <c r="B20" s="13">
        <v>8928</v>
      </c>
      <c r="C20">
        <v>10229</v>
      </c>
      <c r="D20">
        <v>7176</v>
      </c>
      <c r="E20">
        <v>8117</v>
      </c>
      <c r="F20">
        <v>8056</v>
      </c>
      <c r="G20">
        <v>8585</v>
      </c>
      <c r="H20">
        <v>8031</v>
      </c>
      <c r="I20">
        <v>7542</v>
      </c>
      <c r="J20">
        <v>8676</v>
      </c>
      <c r="K20">
        <v>7412</v>
      </c>
      <c r="L20">
        <v>11003</v>
      </c>
      <c r="M20">
        <v>7084</v>
      </c>
      <c r="N20">
        <v>6138</v>
      </c>
      <c r="O20">
        <v>4120</v>
      </c>
      <c r="P20">
        <v>5761</v>
      </c>
      <c r="Q20">
        <v>8272</v>
      </c>
      <c r="R20">
        <v>7301</v>
      </c>
      <c r="S20">
        <v>8785.7215695530995</v>
      </c>
      <c r="T20">
        <f t="shared" si="0"/>
        <v>142.27843044690053</v>
      </c>
      <c r="U20">
        <f t="shared" si="1"/>
        <v>20243.151770433513</v>
      </c>
    </row>
    <row r="21" spans="1:21" x14ac:dyDescent="0.25">
      <c r="A21">
        <v>1979</v>
      </c>
      <c r="B21" s="13">
        <v>10067</v>
      </c>
      <c r="C21">
        <v>11306</v>
      </c>
      <c r="D21">
        <v>7973</v>
      </c>
      <c r="E21">
        <v>9288</v>
      </c>
      <c r="F21">
        <v>8921</v>
      </c>
      <c r="G21">
        <v>9566</v>
      </c>
      <c r="H21">
        <v>8948</v>
      </c>
      <c r="I21">
        <v>8594</v>
      </c>
      <c r="J21">
        <v>9504</v>
      </c>
      <c r="K21">
        <v>8354</v>
      </c>
      <c r="L21">
        <v>12189</v>
      </c>
      <c r="M21">
        <v>8027</v>
      </c>
      <c r="N21">
        <v>6781</v>
      </c>
      <c r="O21">
        <v>4663</v>
      </c>
      <c r="P21">
        <v>6188</v>
      </c>
      <c r="Q21">
        <v>9174</v>
      </c>
      <c r="R21">
        <v>7915</v>
      </c>
      <c r="S21">
        <v>9869.0536504709999</v>
      </c>
      <c r="T21">
        <f t="shared" si="0"/>
        <v>197.94634952900014</v>
      </c>
      <c r="U21">
        <f t="shared" si="1"/>
        <v>39182.757291857095</v>
      </c>
    </row>
    <row r="22" spans="1:21" x14ac:dyDescent="0.25">
      <c r="A22">
        <v>1980</v>
      </c>
      <c r="B22" s="13">
        <v>11083</v>
      </c>
      <c r="C22">
        <v>12186</v>
      </c>
      <c r="D22">
        <v>8502</v>
      </c>
      <c r="E22">
        <v>10312</v>
      </c>
      <c r="F22">
        <v>10156</v>
      </c>
      <c r="G22">
        <v>10362</v>
      </c>
      <c r="H22">
        <v>9891</v>
      </c>
      <c r="I22">
        <v>9643</v>
      </c>
      <c r="J22">
        <v>10458</v>
      </c>
      <c r="K22">
        <v>9557</v>
      </c>
      <c r="L22">
        <v>13853</v>
      </c>
      <c r="M22">
        <v>8931</v>
      </c>
      <c r="N22">
        <v>7374</v>
      </c>
      <c r="O22">
        <v>5263</v>
      </c>
      <c r="P22">
        <v>6856</v>
      </c>
      <c r="Q22">
        <v>10203</v>
      </c>
      <c r="R22">
        <v>8656</v>
      </c>
      <c r="S22">
        <v>10906.853419159299</v>
      </c>
      <c r="T22">
        <f t="shared" si="0"/>
        <v>176.14658084070106</v>
      </c>
      <c r="U22">
        <f t="shared" si="1"/>
        <v>31027.617941869634</v>
      </c>
    </row>
    <row r="23" spans="1:21" x14ac:dyDescent="0.25">
      <c r="A23">
        <v>1981</v>
      </c>
      <c r="B23" s="13">
        <v>12115</v>
      </c>
      <c r="C23">
        <v>13533</v>
      </c>
      <c r="D23">
        <v>9161</v>
      </c>
      <c r="E23">
        <v>11242</v>
      </c>
      <c r="F23">
        <v>11079</v>
      </c>
      <c r="G23">
        <v>11106</v>
      </c>
      <c r="H23">
        <v>10929</v>
      </c>
      <c r="I23">
        <v>10593</v>
      </c>
      <c r="J23">
        <v>11304</v>
      </c>
      <c r="K23">
        <v>10548</v>
      </c>
      <c r="L23">
        <v>15338</v>
      </c>
      <c r="M23">
        <v>9986</v>
      </c>
      <c r="N23">
        <v>7870</v>
      </c>
      <c r="O23">
        <v>5812</v>
      </c>
      <c r="P23">
        <v>7447</v>
      </c>
      <c r="Q23">
        <v>11513</v>
      </c>
      <c r="R23">
        <v>9736</v>
      </c>
      <c r="S23">
        <v>12001.091649346801</v>
      </c>
      <c r="T23">
        <f t="shared" si="0"/>
        <v>113.9083506531988</v>
      </c>
      <c r="U23">
        <f t="shared" si="1"/>
        <v>12975.112348532095</v>
      </c>
    </row>
    <row r="24" spans="1:21" x14ac:dyDescent="0.25">
      <c r="A24">
        <v>1982</v>
      </c>
      <c r="B24" s="13">
        <v>12761</v>
      </c>
      <c r="C24">
        <v>13940</v>
      </c>
      <c r="D24">
        <v>9917</v>
      </c>
      <c r="E24">
        <v>12148</v>
      </c>
      <c r="F24">
        <v>11827</v>
      </c>
      <c r="G24">
        <v>12115</v>
      </c>
      <c r="H24">
        <v>11869</v>
      </c>
      <c r="I24">
        <v>11275</v>
      </c>
      <c r="J24">
        <v>11784</v>
      </c>
      <c r="K24">
        <v>11205</v>
      </c>
      <c r="L24">
        <v>15963</v>
      </c>
      <c r="M24">
        <v>10813</v>
      </c>
      <c r="N24">
        <v>8204</v>
      </c>
      <c r="O24">
        <v>6263</v>
      </c>
      <c r="P24">
        <v>7957</v>
      </c>
      <c r="Q24">
        <v>11537</v>
      </c>
      <c r="R24">
        <v>10687</v>
      </c>
      <c r="S24">
        <v>12714.605273375801</v>
      </c>
      <c r="T24">
        <f t="shared" si="0"/>
        <v>46.394726624199393</v>
      </c>
      <c r="U24">
        <f t="shared" si="1"/>
        <v>2152.470658534196</v>
      </c>
    </row>
    <row r="25" spans="1:21" x14ac:dyDescent="0.25">
      <c r="A25">
        <v>1983</v>
      </c>
      <c r="B25" s="13">
        <v>13519</v>
      </c>
      <c r="C25">
        <v>15008</v>
      </c>
      <c r="D25">
        <v>10669</v>
      </c>
      <c r="E25">
        <v>13048</v>
      </c>
      <c r="F25">
        <v>12334</v>
      </c>
      <c r="G25">
        <v>12822</v>
      </c>
      <c r="H25">
        <v>12518</v>
      </c>
      <c r="I25">
        <v>11812</v>
      </c>
      <c r="J25">
        <v>12419</v>
      </c>
      <c r="K25">
        <v>12022</v>
      </c>
      <c r="L25">
        <v>16611</v>
      </c>
      <c r="M25">
        <v>11346</v>
      </c>
      <c r="N25">
        <v>8388</v>
      </c>
      <c r="O25">
        <v>6479</v>
      </c>
      <c r="P25">
        <v>8378</v>
      </c>
      <c r="Q25">
        <v>12300</v>
      </c>
      <c r="R25">
        <v>11262</v>
      </c>
      <c r="S25">
        <v>13540.317059259802</v>
      </c>
      <c r="T25">
        <f t="shared" si="0"/>
        <v>-21.317059259801681</v>
      </c>
      <c r="U25">
        <f t="shared" si="1"/>
        <v>454.41701548589657</v>
      </c>
    </row>
    <row r="26" spans="1:21" x14ac:dyDescent="0.25">
      <c r="A26">
        <v>1984</v>
      </c>
      <c r="B26" s="13">
        <v>14481</v>
      </c>
      <c r="C26">
        <v>16549</v>
      </c>
      <c r="D26">
        <v>11336</v>
      </c>
      <c r="E26">
        <v>13533</v>
      </c>
      <c r="F26">
        <v>13113</v>
      </c>
      <c r="G26">
        <v>13777</v>
      </c>
      <c r="H26">
        <v>13145</v>
      </c>
      <c r="I26">
        <v>12543</v>
      </c>
      <c r="J26">
        <v>13234</v>
      </c>
      <c r="K26">
        <v>13220</v>
      </c>
      <c r="L26">
        <v>17710</v>
      </c>
      <c r="M26">
        <v>12064</v>
      </c>
      <c r="N26">
        <v>8834</v>
      </c>
      <c r="O26">
        <v>6570</v>
      </c>
      <c r="P26">
        <v>8812</v>
      </c>
      <c r="Q26">
        <v>13120</v>
      </c>
      <c r="R26">
        <v>12141</v>
      </c>
      <c r="S26">
        <v>14392.316644277604</v>
      </c>
      <c r="T26">
        <f t="shared" si="0"/>
        <v>88.6833557223963</v>
      </c>
      <c r="U26">
        <f t="shared" si="1"/>
        <v>7864.7375821850801</v>
      </c>
    </row>
    <row r="27" spans="1:21" x14ac:dyDescent="0.25">
      <c r="A27">
        <v>1985</v>
      </c>
      <c r="B27" s="13">
        <v>15291</v>
      </c>
      <c r="C27">
        <v>17600</v>
      </c>
      <c r="D27">
        <v>12068</v>
      </c>
      <c r="E27">
        <v>14296</v>
      </c>
      <c r="F27">
        <v>13735</v>
      </c>
      <c r="G27">
        <v>14698</v>
      </c>
      <c r="H27">
        <v>13746</v>
      </c>
      <c r="I27">
        <v>13285</v>
      </c>
      <c r="J27">
        <v>13938</v>
      </c>
      <c r="K27">
        <v>14354</v>
      </c>
      <c r="L27">
        <v>18812</v>
      </c>
      <c r="M27">
        <v>12978</v>
      </c>
      <c r="N27">
        <v>9297</v>
      </c>
      <c r="O27">
        <v>6959</v>
      </c>
      <c r="P27">
        <v>9259</v>
      </c>
      <c r="Q27">
        <v>14019</v>
      </c>
      <c r="R27">
        <v>12556</v>
      </c>
      <c r="S27">
        <v>15273.6699580728</v>
      </c>
      <c r="T27">
        <f t="shared" si="0"/>
        <v>17.3300419272</v>
      </c>
      <c r="U27">
        <f t="shared" si="1"/>
        <v>300.3303531985099</v>
      </c>
    </row>
    <row r="28" spans="1:21" x14ac:dyDescent="0.25">
      <c r="A28">
        <v>1986</v>
      </c>
      <c r="B28" s="13">
        <v>15998</v>
      </c>
      <c r="C28">
        <v>18439</v>
      </c>
      <c r="D28">
        <v>12795</v>
      </c>
      <c r="E28">
        <v>14921</v>
      </c>
      <c r="F28">
        <v>14292</v>
      </c>
      <c r="G28">
        <v>15608</v>
      </c>
      <c r="H28">
        <v>14308</v>
      </c>
      <c r="I28">
        <v>13896</v>
      </c>
      <c r="J28">
        <v>14613</v>
      </c>
      <c r="K28">
        <v>15184</v>
      </c>
      <c r="L28">
        <v>19458</v>
      </c>
      <c r="M28">
        <v>13590</v>
      </c>
      <c r="N28">
        <v>9525</v>
      </c>
      <c r="O28">
        <v>7414</v>
      </c>
      <c r="P28">
        <v>9744</v>
      </c>
      <c r="Q28">
        <v>14537</v>
      </c>
      <c r="R28">
        <v>13085</v>
      </c>
      <c r="S28">
        <v>15950.3300963205</v>
      </c>
      <c r="T28">
        <f t="shared" si="0"/>
        <v>47.669903679499839</v>
      </c>
      <c r="U28">
        <f t="shared" si="1"/>
        <v>2272.4197168127921</v>
      </c>
    </row>
    <row r="29" spans="1:21" x14ac:dyDescent="0.25">
      <c r="A29">
        <v>1987</v>
      </c>
      <c r="B29" s="13">
        <v>16679</v>
      </c>
      <c r="C29">
        <v>19407</v>
      </c>
      <c r="D29">
        <v>13717</v>
      </c>
      <c r="E29">
        <v>15549</v>
      </c>
      <c r="F29">
        <v>15013</v>
      </c>
      <c r="G29">
        <v>16024</v>
      </c>
      <c r="H29">
        <v>14940</v>
      </c>
      <c r="I29">
        <v>14688</v>
      </c>
      <c r="J29">
        <v>15197</v>
      </c>
      <c r="K29">
        <v>15823</v>
      </c>
      <c r="L29">
        <v>20120</v>
      </c>
      <c r="M29">
        <v>14425</v>
      </c>
      <c r="N29">
        <v>9548</v>
      </c>
      <c r="O29">
        <v>8126</v>
      </c>
      <c r="P29">
        <v>10542</v>
      </c>
      <c r="Q29">
        <v>15554</v>
      </c>
      <c r="R29">
        <v>13402</v>
      </c>
      <c r="S29">
        <v>16684.857621091403</v>
      </c>
      <c r="T29">
        <f t="shared" si="0"/>
        <v>-5.8576210914034164</v>
      </c>
      <c r="U29">
        <f t="shared" si="1"/>
        <v>34.311724850454148</v>
      </c>
    </row>
    <row r="30" spans="1:21" x14ac:dyDescent="0.25">
      <c r="A30">
        <v>1988</v>
      </c>
      <c r="B30" s="13">
        <v>17786</v>
      </c>
      <c r="C30">
        <v>20711</v>
      </c>
      <c r="D30">
        <v>14864</v>
      </c>
      <c r="E30">
        <v>16595</v>
      </c>
      <c r="F30">
        <v>16209</v>
      </c>
      <c r="G30">
        <v>16766</v>
      </c>
      <c r="H30">
        <v>16040</v>
      </c>
      <c r="I30">
        <v>15784</v>
      </c>
      <c r="J30">
        <v>16082</v>
      </c>
      <c r="K30">
        <v>16299</v>
      </c>
      <c r="L30">
        <v>21334</v>
      </c>
      <c r="M30">
        <v>15862</v>
      </c>
      <c r="N30">
        <v>10277</v>
      </c>
      <c r="O30">
        <v>9057</v>
      </c>
      <c r="P30">
        <v>11434</v>
      </c>
      <c r="Q30">
        <v>16524</v>
      </c>
      <c r="R30">
        <v>13569</v>
      </c>
      <c r="S30">
        <v>17851.175105592003</v>
      </c>
      <c r="T30">
        <f t="shared" si="0"/>
        <v>-65.175105592003092</v>
      </c>
      <c r="U30">
        <f t="shared" si="1"/>
        <v>4247.7943889287526</v>
      </c>
    </row>
    <row r="31" spans="1:21" x14ac:dyDescent="0.25">
      <c r="A31">
        <v>1989</v>
      </c>
      <c r="B31" s="13">
        <v>18994</v>
      </c>
      <c r="C31">
        <v>22047</v>
      </c>
      <c r="D31">
        <v>15716</v>
      </c>
      <c r="E31">
        <v>17768</v>
      </c>
      <c r="F31">
        <v>17345</v>
      </c>
      <c r="G31">
        <v>17418</v>
      </c>
      <c r="H31">
        <v>17193</v>
      </c>
      <c r="I31">
        <v>16875</v>
      </c>
      <c r="J31">
        <v>17387</v>
      </c>
      <c r="K31">
        <v>17043</v>
      </c>
      <c r="L31">
        <v>22965</v>
      </c>
      <c r="M31">
        <v>17269</v>
      </c>
      <c r="N31">
        <v>11036</v>
      </c>
      <c r="O31">
        <v>10042</v>
      </c>
      <c r="P31">
        <v>12417</v>
      </c>
      <c r="Q31">
        <v>17255</v>
      </c>
      <c r="R31">
        <v>14124</v>
      </c>
      <c r="S31">
        <v>19157.064086225306</v>
      </c>
      <c r="T31">
        <f t="shared" si="0"/>
        <v>-163.0640862253058</v>
      </c>
      <c r="U31">
        <f t="shared" si="1"/>
        <v>26589.896216493966</v>
      </c>
    </row>
    <row r="32" spans="1:21" x14ac:dyDescent="0.25">
      <c r="A32" s="14">
        <v>1990</v>
      </c>
      <c r="B32" s="13">
        <v>20465</v>
      </c>
      <c r="C32">
        <v>23064</v>
      </c>
      <c r="D32">
        <v>16397</v>
      </c>
      <c r="E32">
        <v>19070</v>
      </c>
      <c r="F32">
        <v>18526</v>
      </c>
      <c r="G32">
        <v>18237</v>
      </c>
      <c r="H32">
        <v>18244</v>
      </c>
      <c r="I32">
        <v>17946</v>
      </c>
      <c r="J32">
        <v>18665</v>
      </c>
      <c r="K32">
        <v>18004</v>
      </c>
      <c r="L32">
        <v>24518</v>
      </c>
      <c r="M32">
        <v>18815</v>
      </c>
      <c r="N32">
        <v>11405</v>
      </c>
      <c r="O32">
        <v>10894</v>
      </c>
      <c r="P32">
        <v>13365</v>
      </c>
      <c r="Q32">
        <v>17322</v>
      </c>
      <c r="R32">
        <v>14420</v>
      </c>
      <c r="S32">
        <v>20456.970097676898</v>
      </c>
      <c r="T32">
        <f t="shared" si="0"/>
        <v>8.0299023231018509</v>
      </c>
      <c r="U32">
        <f t="shared" si="1"/>
        <v>64.479331318556504</v>
      </c>
    </row>
    <row r="33" spans="1:21" x14ac:dyDescent="0.25">
      <c r="A33" s="14">
        <v>1991</v>
      </c>
      <c r="B33" s="13">
        <v>21602</v>
      </c>
      <c r="C33">
        <v>23507</v>
      </c>
      <c r="D33">
        <v>16681</v>
      </c>
      <c r="E33">
        <v>20172</v>
      </c>
      <c r="F33">
        <v>19453</v>
      </c>
      <c r="G33">
        <v>19070</v>
      </c>
      <c r="H33">
        <v>19021</v>
      </c>
      <c r="I33">
        <v>18845</v>
      </c>
      <c r="J33">
        <v>19626</v>
      </c>
      <c r="K33">
        <v>19212</v>
      </c>
      <c r="L33">
        <v>24840</v>
      </c>
      <c r="M33">
        <v>20055</v>
      </c>
      <c r="N33">
        <v>11971</v>
      </c>
      <c r="O33">
        <v>11783</v>
      </c>
      <c r="P33">
        <v>14152</v>
      </c>
      <c r="Q33">
        <v>17652</v>
      </c>
      <c r="R33">
        <v>14252</v>
      </c>
      <c r="S33">
        <v>21333.7922861316</v>
      </c>
      <c r="T33">
        <f t="shared" si="0"/>
        <v>268.20771386839988</v>
      </c>
      <c r="U33">
        <f t="shared" si="1"/>
        <v>71935.377778513459</v>
      </c>
    </row>
    <row r="34" spans="1:21" x14ac:dyDescent="0.25">
      <c r="A34" s="14">
        <v>1992</v>
      </c>
      <c r="B34" s="13">
        <v>22154</v>
      </c>
      <c r="C34">
        <v>24509</v>
      </c>
      <c r="D34">
        <v>17069</v>
      </c>
      <c r="E34">
        <v>20960</v>
      </c>
      <c r="F34">
        <v>20123</v>
      </c>
      <c r="G34">
        <v>19829</v>
      </c>
      <c r="H34">
        <v>19746</v>
      </c>
      <c r="I34">
        <v>19367</v>
      </c>
      <c r="J34">
        <v>20224</v>
      </c>
      <c r="K34">
        <v>20185</v>
      </c>
      <c r="L34">
        <v>25141</v>
      </c>
      <c r="M34">
        <v>20648</v>
      </c>
      <c r="N34">
        <v>12198</v>
      </c>
      <c r="O34">
        <v>12219</v>
      </c>
      <c r="P34">
        <v>14564</v>
      </c>
      <c r="Q34">
        <v>18496</v>
      </c>
      <c r="R34">
        <v>14679</v>
      </c>
      <c r="S34">
        <v>22065.723843614101</v>
      </c>
      <c r="T34">
        <f t="shared" si="0"/>
        <v>88.276156385898503</v>
      </c>
      <c r="U34">
        <f t="shared" si="1"/>
        <v>7792.6797862676094</v>
      </c>
    </row>
    <row r="35" spans="1:21" x14ac:dyDescent="0.25">
      <c r="A35" s="14">
        <v>1993</v>
      </c>
      <c r="B35" s="13">
        <v>21878</v>
      </c>
      <c r="C35">
        <v>25409</v>
      </c>
      <c r="D35">
        <v>17845</v>
      </c>
      <c r="E35">
        <v>21220</v>
      </c>
      <c r="F35">
        <v>20308</v>
      </c>
      <c r="G35">
        <v>20199</v>
      </c>
      <c r="H35">
        <v>19920</v>
      </c>
      <c r="I35">
        <v>19778</v>
      </c>
      <c r="J35">
        <v>20679</v>
      </c>
      <c r="K35">
        <v>21088</v>
      </c>
      <c r="L35">
        <v>25427</v>
      </c>
      <c r="M35">
        <v>21122</v>
      </c>
      <c r="N35">
        <v>12166</v>
      </c>
      <c r="O35">
        <v>12236</v>
      </c>
      <c r="P35">
        <v>14699</v>
      </c>
      <c r="Q35">
        <v>19432</v>
      </c>
      <c r="R35">
        <v>15605</v>
      </c>
      <c r="S35">
        <v>22520.610877703504</v>
      </c>
      <c r="T35">
        <f t="shared" si="0"/>
        <v>-642.61087770350423</v>
      </c>
      <c r="U35">
        <f t="shared" si="1"/>
        <v>412948.74014286808</v>
      </c>
    </row>
    <row r="36" spans="1:21" x14ac:dyDescent="0.25">
      <c r="A36" s="14">
        <v>1994</v>
      </c>
      <c r="B36" s="13">
        <v>22371</v>
      </c>
      <c r="C36">
        <v>26670</v>
      </c>
      <c r="D36">
        <v>18975</v>
      </c>
      <c r="E36">
        <v>22139</v>
      </c>
      <c r="F36">
        <v>21340</v>
      </c>
      <c r="G36">
        <v>21691</v>
      </c>
      <c r="H36">
        <v>20695</v>
      </c>
      <c r="I36">
        <v>20577</v>
      </c>
      <c r="J36">
        <v>21588</v>
      </c>
      <c r="K36">
        <v>22534</v>
      </c>
      <c r="L36">
        <v>26031</v>
      </c>
      <c r="M36">
        <v>21757</v>
      </c>
      <c r="N36">
        <v>12566</v>
      </c>
      <c r="O36">
        <v>12614</v>
      </c>
      <c r="P36">
        <v>15325</v>
      </c>
      <c r="Q36">
        <v>20583</v>
      </c>
      <c r="R36">
        <v>16686</v>
      </c>
      <c r="S36">
        <v>23435.118811561497</v>
      </c>
      <c r="T36">
        <f t="shared" si="0"/>
        <v>-1064.1188115614968</v>
      </c>
      <c r="U36">
        <f t="shared" si="1"/>
        <v>1132348.8451190523</v>
      </c>
    </row>
    <row r="37" spans="1:21" x14ac:dyDescent="0.25">
      <c r="A37" s="14">
        <v>1995</v>
      </c>
      <c r="B37" s="13">
        <v>23035</v>
      </c>
      <c r="C37">
        <v>27574</v>
      </c>
      <c r="D37">
        <v>19860</v>
      </c>
      <c r="E37">
        <v>22976</v>
      </c>
      <c r="F37">
        <v>22248</v>
      </c>
      <c r="G37">
        <v>22693</v>
      </c>
      <c r="H37">
        <v>21545</v>
      </c>
      <c r="I37">
        <v>21532</v>
      </c>
      <c r="J37">
        <v>22585</v>
      </c>
      <c r="K37">
        <v>23874</v>
      </c>
      <c r="L37">
        <v>26485</v>
      </c>
      <c r="M37">
        <v>22551</v>
      </c>
      <c r="N37">
        <v>12991</v>
      </c>
      <c r="O37">
        <v>13413</v>
      </c>
      <c r="P37">
        <v>16032</v>
      </c>
      <c r="Q37">
        <v>21773</v>
      </c>
      <c r="R37">
        <v>17402</v>
      </c>
      <c r="S37">
        <v>24252.453706301505</v>
      </c>
      <c r="T37">
        <f t="shared" si="0"/>
        <v>-1217.453706301505</v>
      </c>
      <c r="U37">
        <f t="shared" si="1"/>
        <v>1482193.5269872712</v>
      </c>
    </row>
    <row r="38" spans="1:21" x14ac:dyDescent="0.25">
      <c r="A38" s="14">
        <v>1996</v>
      </c>
      <c r="B38" s="13">
        <v>23742</v>
      </c>
      <c r="C38">
        <v>28814</v>
      </c>
      <c r="D38">
        <v>20923</v>
      </c>
      <c r="E38">
        <v>24008</v>
      </c>
      <c r="F38">
        <v>22687</v>
      </c>
      <c r="G38">
        <v>23781</v>
      </c>
      <c r="H38">
        <v>22288</v>
      </c>
      <c r="I38">
        <v>22235</v>
      </c>
      <c r="J38">
        <v>23531</v>
      </c>
      <c r="K38">
        <v>26263</v>
      </c>
      <c r="L38">
        <v>26394</v>
      </c>
      <c r="M38">
        <v>23714</v>
      </c>
      <c r="N38">
        <v>13418</v>
      </c>
      <c r="O38">
        <v>13974</v>
      </c>
      <c r="P38">
        <v>16720</v>
      </c>
      <c r="Q38">
        <v>22562</v>
      </c>
      <c r="R38">
        <v>17879</v>
      </c>
      <c r="S38">
        <v>25216.309894223203</v>
      </c>
      <c r="T38">
        <f t="shared" si="0"/>
        <v>-1474.3098942232027</v>
      </c>
      <c r="U38">
        <f t="shared" si="1"/>
        <v>2173589.6642044312</v>
      </c>
    </row>
    <row r="39" spans="1:21" x14ac:dyDescent="0.25">
      <c r="A39" s="14">
        <v>1997</v>
      </c>
      <c r="B39" s="13">
        <v>24156</v>
      </c>
      <c r="C39">
        <v>30262</v>
      </c>
      <c r="D39">
        <v>22280</v>
      </c>
      <c r="E39">
        <v>24472</v>
      </c>
      <c r="F39">
        <v>23416</v>
      </c>
      <c r="G39">
        <v>24878</v>
      </c>
      <c r="H39">
        <v>23370</v>
      </c>
      <c r="I39">
        <v>22810</v>
      </c>
      <c r="J39">
        <v>24692</v>
      </c>
      <c r="K39">
        <v>27776</v>
      </c>
      <c r="L39">
        <v>27850</v>
      </c>
      <c r="M39">
        <v>24478</v>
      </c>
      <c r="N39">
        <v>14127</v>
      </c>
      <c r="O39">
        <v>14804</v>
      </c>
      <c r="P39">
        <v>17420</v>
      </c>
      <c r="Q39">
        <v>23649</v>
      </c>
      <c r="R39">
        <v>18510</v>
      </c>
      <c r="S39">
        <v>26118.999212308798</v>
      </c>
      <c r="T39">
        <f t="shared" si="0"/>
        <v>-1962.9992123087977</v>
      </c>
      <c r="U39">
        <f t="shared" si="1"/>
        <v>3853365.9075249601</v>
      </c>
    </row>
    <row r="40" spans="1:21" x14ac:dyDescent="0.25">
      <c r="A40" s="14">
        <v>1998</v>
      </c>
      <c r="B40" s="13">
        <v>24931</v>
      </c>
      <c r="C40">
        <v>31519</v>
      </c>
      <c r="D40">
        <v>23206</v>
      </c>
      <c r="E40">
        <v>25314</v>
      </c>
      <c r="F40">
        <v>24164</v>
      </c>
      <c r="G40">
        <v>25669</v>
      </c>
      <c r="H40">
        <v>24412</v>
      </c>
      <c r="I40">
        <v>23840</v>
      </c>
      <c r="J40">
        <v>25811</v>
      </c>
      <c r="K40">
        <v>27294</v>
      </c>
      <c r="L40">
        <v>28835</v>
      </c>
      <c r="M40">
        <v>24429</v>
      </c>
      <c r="N40">
        <v>14665</v>
      </c>
      <c r="O40">
        <v>15401</v>
      </c>
      <c r="P40">
        <v>18479</v>
      </c>
      <c r="Q40">
        <v>24853</v>
      </c>
      <c r="R40">
        <v>18669</v>
      </c>
      <c r="S40">
        <v>26953.839316501701</v>
      </c>
      <c r="T40">
        <f t="shared" si="0"/>
        <v>-2022.8393165017005</v>
      </c>
      <c r="U40">
        <f t="shared" si="1"/>
        <v>4091878.9003850669</v>
      </c>
    </row>
    <row r="41" spans="1:21" x14ac:dyDescent="0.25">
      <c r="A41" s="14">
        <v>1999</v>
      </c>
      <c r="B41" s="13">
        <v>25755</v>
      </c>
      <c r="C41">
        <v>33028</v>
      </c>
      <c r="D41">
        <v>23959</v>
      </c>
      <c r="E41">
        <v>26558</v>
      </c>
      <c r="F41">
        <v>24792</v>
      </c>
      <c r="G41">
        <v>27113</v>
      </c>
      <c r="H41">
        <v>25111</v>
      </c>
      <c r="I41">
        <v>24402</v>
      </c>
      <c r="J41">
        <v>26654</v>
      </c>
      <c r="K41">
        <v>30011</v>
      </c>
      <c r="L41">
        <v>28887</v>
      </c>
      <c r="M41">
        <v>24709</v>
      </c>
      <c r="N41">
        <v>15213</v>
      </c>
      <c r="O41">
        <v>16363</v>
      </c>
      <c r="P41">
        <v>19817</v>
      </c>
      <c r="Q41">
        <v>26283</v>
      </c>
      <c r="R41">
        <v>19937</v>
      </c>
      <c r="S41">
        <v>27936.263875237601</v>
      </c>
      <c r="T41">
        <f t="shared" si="0"/>
        <v>-2181.2638752376006</v>
      </c>
      <c r="U41">
        <f t="shared" si="1"/>
        <v>4757912.0934165549</v>
      </c>
    </row>
    <row r="42" spans="1:21" x14ac:dyDescent="0.25">
      <c r="A42" s="14">
        <v>2000</v>
      </c>
      <c r="B42" s="13">
        <v>26943</v>
      </c>
      <c r="C42">
        <v>34603</v>
      </c>
      <c r="D42">
        <v>25583</v>
      </c>
      <c r="E42">
        <v>28359</v>
      </c>
      <c r="F42">
        <v>26631</v>
      </c>
      <c r="G42">
        <v>28798</v>
      </c>
      <c r="H42">
        <v>26690</v>
      </c>
      <c r="I42">
        <v>25759</v>
      </c>
      <c r="J42">
        <v>28467</v>
      </c>
      <c r="K42">
        <v>36273</v>
      </c>
      <c r="L42">
        <v>30461</v>
      </c>
      <c r="M42">
        <v>26015</v>
      </c>
      <c r="N42">
        <v>16272</v>
      </c>
      <c r="O42">
        <v>17353</v>
      </c>
      <c r="P42">
        <v>21074</v>
      </c>
      <c r="Q42">
        <v>27403</v>
      </c>
      <c r="R42">
        <v>20789</v>
      </c>
      <c r="S42">
        <v>29587.022683861502</v>
      </c>
      <c r="T42">
        <f t="shared" si="0"/>
        <v>-2644.0226838615017</v>
      </c>
      <c r="U42">
        <f t="shared" si="1"/>
        <v>6990855.9527741782</v>
      </c>
    </row>
    <row r="43" spans="1:21" x14ac:dyDescent="0.25">
      <c r="A43" s="14">
        <v>2001</v>
      </c>
      <c r="B43" s="13">
        <v>27449</v>
      </c>
      <c r="C43">
        <v>35341</v>
      </c>
      <c r="D43">
        <v>27026</v>
      </c>
      <c r="E43">
        <v>28855</v>
      </c>
      <c r="F43">
        <v>28001</v>
      </c>
      <c r="G43">
        <v>29837</v>
      </c>
      <c r="H43">
        <v>28043</v>
      </c>
      <c r="I43">
        <v>26586</v>
      </c>
      <c r="J43">
        <v>30359</v>
      </c>
      <c r="K43">
        <v>37078</v>
      </c>
      <c r="L43">
        <v>30806</v>
      </c>
      <c r="M43">
        <v>26619</v>
      </c>
      <c r="N43">
        <v>17332</v>
      </c>
      <c r="O43">
        <v>18071</v>
      </c>
      <c r="P43">
        <v>22257</v>
      </c>
      <c r="Q43">
        <v>28492</v>
      </c>
      <c r="R43">
        <v>21825</v>
      </c>
      <c r="S43">
        <v>30266.606096839205</v>
      </c>
      <c r="T43">
        <f t="shared" si="0"/>
        <v>-2817.6060968392048</v>
      </c>
      <c r="U43">
        <f t="shared" si="1"/>
        <v>7938904.1169454586</v>
      </c>
    </row>
    <row r="44" spans="1:21" x14ac:dyDescent="0.25">
      <c r="A44" s="14">
        <v>2002</v>
      </c>
      <c r="B44" s="13">
        <v>28348</v>
      </c>
      <c r="C44">
        <v>36180</v>
      </c>
      <c r="D44">
        <v>28969</v>
      </c>
      <c r="E44">
        <v>29942</v>
      </c>
      <c r="F44">
        <v>29330</v>
      </c>
      <c r="G44">
        <v>30318</v>
      </c>
      <c r="H44">
        <v>28829</v>
      </c>
      <c r="I44">
        <v>27320</v>
      </c>
      <c r="J44">
        <v>31284</v>
      </c>
      <c r="K44">
        <v>36617</v>
      </c>
      <c r="L44">
        <v>32751</v>
      </c>
      <c r="M44">
        <v>27196</v>
      </c>
      <c r="N44">
        <v>19119</v>
      </c>
      <c r="O44">
        <v>18799</v>
      </c>
      <c r="P44">
        <v>23756</v>
      </c>
      <c r="Q44">
        <v>29819</v>
      </c>
      <c r="R44">
        <v>22662</v>
      </c>
      <c r="S44">
        <v>31300.750981441193</v>
      </c>
      <c r="T44">
        <f t="shared" si="0"/>
        <v>-2952.7509814411933</v>
      </c>
      <c r="U44">
        <f t="shared" si="1"/>
        <v>8718738.35840193</v>
      </c>
    </row>
    <row r="45" spans="1:21" x14ac:dyDescent="0.25">
      <c r="A45" s="14">
        <v>2003</v>
      </c>
      <c r="B45" s="13">
        <v>28855</v>
      </c>
      <c r="C45">
        <v>37548</v>
      </c>
      <c r="D45">
        <v>29609</v>
      </c>
      <c r="E45">
        <v>30796</v>
      </c>
      <c r="F45">
        <v>30082</v>
      </c>
      <c r="G45">
        <v>30853</v>
      </c>
      <c r="H45">
        <v>29210</v>
      </c>
      <c r="I45">
        <v>27537</v>
      </c>
      <c r="J45">
        <v>31792</v>
      </c>
      <c r="K45">
        <v>37245</v>
      </c>
      <c r="L45">
        <v>33516</v>
      </c>
      <c r="M45">
        <v>28071</v>
      </c>
      <c r="N45">
        <v>20479</v>
      </c>
      <c r="O45">
        <v>17603</v>
      </c>
      <c r="P45">
        <v>24812</v>
      </c>
      <c r="Q45">
        <v>31273</v>
      </c>
      <c r="R45">
        <v>23728</v>
      </c>
      <c r="S45">
        <v>32227.807074085107</v>
      </c>
      <c r="T45">
        <f t="shared" si="0"/>
        <v>-3372.8070740851072</v>
      </c>
      <c r="U45">
        <f t="shared" si="1"/>
        <v>11375827.558998542</v>
      </c>
    </row>
    <row r="47" spans="1:21" x14ac:dyDescent="0.25">
      <c r="A47" t="s">
        <v>43</v>
      </c>
      <c r="D47">
        <f>AVERAGE(U2:U31)</f>
        <v>14313.624080817568</v>
      </c>
    </row>
    <row r="48" spans="1:21" x14ac:dyDescent="0.25">
      <c r="A48" t="s">
        <v>41</v>
      </c>
      <c r="D48">
        <f>SQRT(AVERAGE(U2:U31))</f>
        <v>119.63955901296848</v>
      </c>
    </row>
    <row r="49" spans="1:4" x14ac:dyDescent="0.25">
      <c r="A49" t="s">
        <v>42</v>
      </c>
      <c r="D49">
        <f>SQRT(AVERAGE(U32:U45))</f>
        <v>1945.8445871320691</v>
      </c>
    </row>
    <row r="50" spans="1:4" x14ac:dyDescent="0.25">
      <c r="D50">
        <f>SQRT(AVERAGE(U2:U45))</f>
        <v>1102.0411323397407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opLeftCell="A3" workbookViewId="0">
      <selection activeCell="C19" sqref="A4:C19"/>
    </sheetView>
  </sheetViews>
  <sheetFormatPr defaultRowHeight="15" x14ac:dyDescent="0.25"/>
  <cols>
    <col min="1" max="3" width="20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3" t="s">
        <v>4</v>
      </c>
      <c r="C4" s="4">
        <v>0.21869420480000001</v>
      </c>
    </row>
    <row r="5" spans="1:3" x14ac:dyDescent="0.25">
      <c r="A5">
        <v>2</v>
      </c>
      <c r="B5" t="s">
        <v>5</v>
      </c>
      <c r="C5" s="5">
        <v>9.6507929999999997E-4</v>
      </c>
    </row>
    <row r="6" spans="1:3" x14ac:dyDescent="0.25">
      <c r="A6" s="3">
        <v>3</v>
      </c>
      <c r="B6" s="3" t="s">
        <v>6</v>
      </c>
      <c r="C6" s="4">
        <v>0.41752610010000002</v>
      </c>
    </row>
    <row r="7" spans="1:3" x14ac:dyDescent="0.25">
      <c r="A7">
        <v>4</v>
      </c>
      <c r="B7" t="s">
        <v>7</v>
      </c>
      <c r="C7" s="5">
        <v>1.1693951E-3</v>
      </c>
    </row>
    <row r="8" spans="1:3" x14ac:dyDescent="0.25">
      <c r="A8">
        <v>5</v>
      </c>
      <c r="B8" t="s">
        <v>8</v>
      </c>
      <c r="C8" s="5">
        <v>1.0507881E-3</v>
      </c>
    </row>
    <row r="9" spans="1:3" x14ac:dyDescent="0.25">
      <c r="A9">
        <v>6</v>
      </c>
      <c r="B9" t="s">
        <v>9</v>
      </c>
      <c r="C9" s="5">
        <v>8.1470260000000004E-4</v>
      </c>
    </row>
    <row r="10" spans="1:3" x14ac:dyDescent="0.25">
      <c r="A10">
        <v>8</v>
      </c>
      <c r="B10" t="s">
        <v>10</v>
      </c>
      <c r="C10" s="5">
        <v>5.0295380000000005E-4</v>
      </c>
    </row>
    <row r="11" spans="1:3" x14ac:dyDescent="0.25">
      <c r="A11" s="3">
        <v>9</v>
      </c>
      <c r="B11" s="3" t="s">
        <v>11</v>
      </c>
      <c r="C11" s="4">
        <v>9.0285529200000006E-2</v>
      </c>
    </row>
    <row r="12" spans="1:3" x14ac:dyDescent="0.25">
      <c r="A12">
        <v>10</v>
      </c>
      <c r="B12" t="s">
        <v>12</v>
      </c>
      <c r="C12" s="5">
        <v>5.1518880000000003E-4</v>
      </c>
    </row>
    <row r="13" spans="1:3" x14ac:dyDescent="0.25">
      <c r="A13" s="3">
        <v>12</v>
      </c>
      <c r="B13" s="3" t="s">
        <v>13</v>
      </c>
      <c r="C13" s="4">
        <v>0.1113088965</v>
      </c>
    </row>
    <row r="14" spans="1:3" x14ac:dyDescent="0.25">
      <c r="A14" s="3">
        <v>14</v>
      </c>
      <c r="B14" s="3" t="s">
        <v>14</v>
      </c>
      <c r="C14" s="4">
        <v>0.1550798903</v>
      </c>
    </row>
    <row r="15" spans="1:3" x14ac:dyDescent="0.25">
      <c r="A15">
        <v>16</v>
      </c>
      <c r="B15" t="s">
        <v>15</v>
      </c>
      <c r="C15" s="5">
        <v>2.918951E-4</v>
      </c>
    </row>
    <row r="16" spans="1:3" x14ac:dyDescent="0.25">
      <c r="A16">
        <v>18</v>
      </c>
      <c r="B16" t="s">
        <v>16</v>
      </c>
      <c r="C16" s="5">
        <v>3.0297400000000002E-4</v>
      </c>
    </row>
    <row r="17" spans="1:3" x14ac:dyDescent="0.25">
      <c r="A17">
        <v>19</v>
      </c>
      <c r="B17" t="s">
        <v>17</v>
      </c>
      <c r="C17" s="5">
        <v>5.9019910000000005E-4</v>
      </c>
    </row>
    <row r="18" spans="1:3" x14ac:dyDescent="0.25">
      <c r="A18">
        <v>20</v>
      </c>
      <c r="B18" t="s">
        <v>18</v>
      </c>
      <c r="C18" s="5">
        <v>4.6898069999999999E-4</v>
      </c>
    </row>
    <row r="19" spans="1:3" x14ac:dyDescent="0.25">
      <c r="A19">
        <v>21</v>
      </c>
      <c r="B19" t="s">
        <v>19</v>
      </c>
      <c r="C19" s="5">
        <v>4.3322229999999997E-4</v>
      </c>
    </row>
    <row r="20" spans="1:3" x14ac:dyDescent="0.25">
      <c r="C20" s="5"/>
    </row>
    <row r="21" spans="1:3" x14ac:dyDescent="0.25">
      <c r="B21" s="6" t="s">
        <v>20</v>
      </c>
      <c r="C21" s="7">
        <f>SUM(C4:C19)</f>
        <v>0.99999999980000021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4" sqref="A4:C9"/>
    </sheetView>
  </sheetViews>
  <sheetFormatPr defaultRowHeight="15" x14ac:dyDescent="0.25"/>
  <cols>
    <col min="1" max="3" width="35" customWidth="1"/>
  </cols>
  <sheetData>
    <row r="1" spans="1:3" ht="18.75" x14ac:dyDescent="0.3">
      <c r="A1" s="1" t="s">
        <v>21</v>
      </c>
    </row>
    <row r="3" spans="1:3" x14ac:dyDescent="0.25">
      <c r="A3" s="2" t="s">
        <v>22</v>
      </c>
      <c r="B3" s="2" t="s">
        <v>23</v>
      </c>
      <c r="C3" s="2" t="s">
        <v>24</v>
      </c>
    </row>
    <row r="4" spans="1:3" x14ac:dyDescent="0.25">
      <c r="A4">
        <v>1</v>
      </c>
      <c r="B4" t="s">
        <v>25</v>
      </c>
      <c r="C4" s="8">
        <v>0.441</v>
      </c>
    </row>
    <row r="5" spans="1:3" x14ac:dyDescent="0.25">
      <c r="A5">
        <v>2</v>
      </c>
      <c r="B5" t="s">
        <v>26</v>
      </c>
      <c r="C5" s="8">
        <v>0.13400000000000001</v>
      </c>
    </row>
    <row r="6" spans="1:3" x14ac:dyDescent="0.25">
      <c r="A6">
        <v>3</v>
      </c>
      <c r="B6" t="s">
        <v>27</v>
      </c>
      <c r="C6" s="8">
        <v>7.1999999999999995E-2</v>
      </c>
    </row>
    <row r="7" spans="1:3" x14ac:dyDescent="0.25">
      <c r="A7">
        <v>4</v>
      </c>
      <c r="B7" t="s">
        <v>28</v>
      </c>
      <c r="C7" s="8">
        <v>1E-3</v>
      </c>
    </row>
    <row r="8" spans="1:3" x14ac:dyDescent="0.25">
      <c r="A8">
        <v>5</v>
      </c>
      <c r="B8" t="s">
        <v>29</v>
      </c>
      <c r="C8" s="8">
        <v>0.107</v>
      </c>
    </row>
    <row r="9" spans="1:3" x14ac:dyDescent="0.25">
      <c r="A9">
        <v>6</v>
      </c>
      <c r="B9" t="s">
        <v>30</v>
      </c>
      <c r="C9" s="8">
        <v>0.245</v>
      </c>
    </row>
    <row r="10" spans="1:3" x14ac:dyDescent="0.25">
      <c r="C10" s="8"/>
    </row>
    <row r="11" spans="1:3" x14ac:dyDescent="0.25">
      <c r="B11" s="9" t="s">
        <v>20</v>
      </c>
      <c r="C11" s="6">
        <f>SUM(C4:C9)</f>
        <v>0.99999999999999989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04AC-F8A7-45D4-B070-C077C749C996}">
  <dimension ref="A1:S47"/>
  <sheetViews>
    <sheetView topLeftCell="B17" workbookViewId="0">
      <selection activeCell="S26" sqref="S26"/>
    </sheetView>
  </sheetViews>
  <sheetFormatPr defaultRowHeight="15" x14ac:dyDescent="0.25"/>
  <cols>
    <col min="19" max="19" width="18.42578125" bestFit="1" customWidth="1"/>
  </cols>
  <sheetData>
    <row r="1" spans="1:19" ht="18.75" x14ac:dyDescent="0.3">
      <c r="A1" s="1" t="s">
        <v>44</v>
      </c>
    </row>
    <row r="3" spans="1:19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  <c r="S3" s="15" t="s">
        <v>49</v>
      </c>
    </row>
    <row r="4" spans="1:19" x14ac:dyDescent="0.25">
      <c r="A4">
        <v>1960</v>
      </c>
      <c r="B4" s="17">
        <v>44.98724365234375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9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9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9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9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9" x14ac:dyDescent="0.25">
      <c r="A9">
        <v>1965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9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9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9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9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9" x14ac:dyDescent="0.25">
      <c r="A14">
        <v>1970</v>
      </c>
      <c r="B14" s="17">
        <v>38.217014312744141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>
        <v>36.266361236572273</v>
      </c>
      <c r="Q14" s="18"/>
      <c r="R14" s="18"/>
    </row>
    <row r="15" spans="1:19" x14ac:dyDescent="0.25">
      <c r="A15">
        <v>1971</v>
      </c>
      <c r="B15" s="17">
        <v>48.001258850097663</v>
      </c>
      <c r="C15" s="18">
        <v>37.293590545654297</v>
      </c>
      <c r="D15" s="18">
        <v>41.218509674072273</v>
      </c>
      <c r="E15" s="18">
        <v>42.502269744873047</v>
      </c>
      <c r="F15" s="18">
        <v>31.780340194702148</v>
      </c>
      <c r="G15" s="18">
        <v>38.649269104003913</v>
      </c>
      <c r="H15" s="18">
        <v>36.118080139160163</v>
      </c>
      <c r="I15" s="18">
        <v>40.385379791259773</v>
      </c>
      <c r="J15" s="18">
        <v>45.170719146728523</v>
      </c>
      <c r="K15" s="18">
        <v>37.201129913330078</v>
      </c>
      <c r="L15" s="18">
        <v>34.029399871826172</v>
      </c>
      <c r="M15" s="18">
        <v>31.94467926025391</v>
      </c>
      <c r="N15" s="18">
        <v>35.137760162353523</v>
      </c>
      <c r="O15" s="18">
        <v>40.667221069335938</v>
      </c>
      <c r="P15" s="18">
        <v>35.986961364746087</v>
      </c>
      <c r="Q15" s="18">
        <v>43.078590393066413</v>
      </c>
      <c r="R15" s="18">
        <v>34.508628845214837</v>
      </c>
    </row>
    <row r="16" spans="1:19" x14ac:dyDescent="0.25">
      <c r="A16">
        <v>1972</v>
      </c>
      <c r="B16" s="17">
        <v>46.946891784667969</v>
      </c>
      <c r="C16" s="18">
        <v>36.800880432128913</v>
      </c>
      <c r="D16" s="18">
        <v>41.525630950927727</v>
      </c>
      <c r="E16" s="18">
        <v>41.944149017333977</v>
      </c>
      <c r="F16" s="18">
        <v>31.53146934509277</v>
      </c>
      <c r="G16" s="18">
        <v>38.697898864746087</v>
      </c>
      <c r="H16" s="18">
        <v>36.323570251464837</v>
      </c>
      <c r="I16" s="18">
        <v>39.514869689941413</v>
      </c>
      <c r="J16" s="18">
        <v>44.578239440917969</v>
      </c>
      <c r="K16" s="18">
        <v>36.960201263427727</v>
      </c>
      <c r="L16" s="18">
        <v>33.208938598632813</v>
      </c>
      <c r="M16" s="18">
        <v>32.230430603027337</v>
      </c>
      <c r="N16" s="18">
        <v>35.945590972900391</v>
      </c>
      <c r="O16" s="18">
        <v>41.693290710449219</v>
      </c>
      <c r="P16" s="18">
        <v>35.707561492919922</v>
      </c>
      <c r="Q16" s="18">
        <v>42.560081481933587</v>
      </c>
      <c r="R16" s="18">
        <v>34.444290161132813</v>
      </c>
    </row>
    <row r="17" spans="1:18" x14ac:dyDescent="0.25">
      <c r="A17">
        <v>1973</v>
      </c>
      <c r="B17" s="17">
        <v>46.534358978271477</v>
      </c>
      <c r="C17" s="18">
        <v>35.435848236083977</v>
      </c>
      <c r="D17" s="18">
        <v>42.236820220947273</v>
      </c>
      <c r="E17" s="18">
        <v>42.515090942382813</v>
      </c>
      <c r="F17" s="18">
        <v>30.284730911254879</v>
      </c>
      <c r="G17" s="18">
        <v>37.940670013427727</v>
      </c>
      <c r="H17" s="18">
        <v>36.534938812255859</v>
      </c>
      <c r="I17" s="18">
        <v>40.685039520263672</v>
      </c>
      <c r="J17" s="18">
        <v>45.357730865478523</v>
      </c>
      <c r="K17" s="18">
        <v>36.77001953125</v>
      </c>
      <c r="L17" s="18">
        <v>32.451801300048828</v>
      </c>
      <c r="M17" s="18">
        <v>32.272209167480469</v>
      </c>
      <c r="N17" s="18">
        <v>35.963459014892578</v>
      </c>
      <c r="O17" s="18">
        <v>42.232669830322273</v>
      </c>
      <c r="P17" s="18">
        <v>35.42816162109375</v>
      </c>
      <c r="Q17" s="18">
        <v>42.135398864746087</v>
      </c>
      <c r="R17" s="18">
        <v>34.375209808349609</v>
      </c>
    </row>
    <row r="18" spans="1:18" x14ac:dyDescent="0.25">
      <c r="A18">
        <v>1974</v>
      </c>
      <c r="B18" s="17">
        <v>45.708869934082031</v>
      </c>
      <c r="C18" s="18">
        <v>36.886760711669922</v>
      </c>
      <c r="D18" s="18">
        <v>42.260269165039063</v>
      </c>
      <c r="E18" s="18">
        <v>43.293010711669922</v>
      </c>
      <c r="F18" s="18">
        <v>29.587039947509769</v>
      </c>
      <c r="G18" s="18">
        <v>37.567768096923828</v>
      </c>
      <c r="H18" s="18">
        <v>34.111148834228523</v>
      </c>
      <c r="I18" s="18">
        <v>42.322589874267578</v>
      </c>
      <c r="J18" s="18">
        <v>43.632900238037109</v>
      </c>
      <c r="K18" s="18">
        <v>36.934268951416023</v>
      </c>
      <c r="L18" s="18">
        <v>35.5166015625</v>
      </c>
      <c r="M18" s="18">
        <v>33.086528778076172</v>
      </c>
      <c r="N18" s="18">
        <v>37.544479370117188</v>
      </c>
      <c r="O18" s="18">
        <v>43.172298431396477</v>
      </c>
      <c r="P18" s="18">
        <v>35.148765563964837</v>
      </c>
      <c r="Q18" s="18">
        <v>41.623748779296882</v>
      </c>
      <c r="R18" s="18">
        <v>34.036060333251953</v>
      </c>
    </row>
    <row r="19" spans="1:18" x14ac:dyDescent="0.25">
      <c r="A19">
        <v>1975</v>
      </c>
      <c r="B19" s="17">
        <v>43.370090484619141</v>
      </c>
      <c r="C19" s="18">
        <v>37.104549407958977</v>
      </c>
      <c r="D19" s="18">
        <v>40.128139495849609</v>
      </c>
      <c r="E19" s="18">
        <v>40.017009735107422</v>
      </c>
      <c r="F19" s="18">
        <v>29.25056076049805</v>
      </c>
      <c r="G19" s="18">
        <v>37.662090301513672</v>
      </c>
      <c r="H19" s="18">
        <v>33.067729949951172</v>
      </c>
      <c r="I19" s="18">
        <v>41.313690185546882</v>
      </c>
      <c r="J19" s="18">
        <v>41.405479431152337</v>
      </c>
      <c r="K19" s="18">
        <v>35.570529937744141</v>
      </c>
      <c r="L19" s="18">
        <v>34.529041290283203</v>
      </c>
      <c r="M19" s="18">
        <v>34.624118804931641</v>
      </c>
      <c r="N19" s="18">
        <v>35.211498260498047</v>
      </c>
      <c r="O19" s="18">
        <v>42.083221435546882</v>
      </c>
      <c r="P19" s="18">
        <v>34.776233673095703</v>
      </c>
      <c r="Q19" s="18">
        <v>40.488178253173828</v>
      </c>
      <c r="R19" s="18">
        <v>33.225669860839837</v>
      </c>
    </row>
    <row r="20" spans="1:18" x14ac:dyDescent="0.25">
      <c r="A20">
        <v>1976</v>
      </c>
      <c r="B20" s="17">
        <v>43.613609313964837</v>
      </c>
      <c r="C20" s="18">
        <v>36.665290832519531</v>
      </c>
      <c r="D20" s="18">
        <v>39.397899627685547</v>
      </c>
      <c r="E20" s="18">
        <v>40.133949279785163</v>
      </c>
      <c r="F20" s="18">
        <v>28.249870300292969</v>
      </c>
      <c r="G20" s="18">
        <v>37.490768432617188</v>
      </c>
      <c r="H20" s="18">
        <v>33.044170379638672</v>
      </c>
      <c r="I20" s="18">
        <v>42.211620330810547</v>
      </c>
      <c r="J20" s="18">
        <v>41.484100341796882</v>
      </c>
      <c r="K20" s="18">
        <v>35.763511657714837</v>
      </c>
      <c r="L20" s="18">
        <v>34.712020874023438</v>
      </c>
      <c r="M20" s="18">
        <v>34.209701538085938</v>
      </c>
      <c r="N20" s="18">
        <v>34.725379943847663</v>
      </c>
      <c r="O20" s="18">
        <v>41.384250640869141</v>
      </c>
      <c r="P20" s="18">
        <v>34.496833801269531</v>
      </c>
      <c r="Q20" s="18">
        <v>41.089920043945313</v>
      </c>
      <c r="R20" s="18">
        <v>33.760848999023438</v>
      </c>
    </row>
    <row r="21" spans="1:18" x14ac:dyDescent="0.25">
      <c r="A21">
        <v>1977</v>
      </c>
      <c r="B21" s="17">
        <v>43.166019439697273</v>
      </c>
      <c r="C21" s="18">
        <v>35.999359130859382</v>
      </c>
      <c r="D21" s="18">
        <v>39.058830261230469</v>
      </c>
      <c r="E21" s="18">
        <v>39.495281219482422</v>
      </c>
      <c r="F21" s="18">
        <v>28.022029876708981</v>
      </c>
      <c r="G21" s="18">
        <v>36.881019592285163</v>
      </c>
      <c r="H21" s="18">
        <v>33.730728149414063</v>
      </c>
      <c r="I21" s="18">
        <v>41.677619934082031</v>
      </c>
      <c r="J21" s="18">
        <v>40.436939239501953</v>
      </c>
      <c r="K21" s="18">
        <v>35.207820892333977</v>
      </c>
      <c r="L21" s="18">
        <v>32.954658508300781</v>
      </c>
      <c r="M21" s="18">
        <v>34.076400756835938</v>
      </c>
      <c r="N21" s="18">
        <v>34.724170684814453</v>
      </c>
      <c r="O21" s="18">
        <v>40.521808624267578</v>
      </c>
      <c r="P21" s="18">
        <v>34.217437744140618</v>
      </c>
      <c r="Q21" s="18">
        <v>41.330410003662109</v>
      </c>
      <c r="R21" s="18">
        <v>34.264640808105469</v>
      </c>
    </row>
    <row r="22" spans="1:18" x14ac:dyDescent="0.25">
      <c r="A22">
        <v>1978</v>
      </c>
      <c r="B22" s="17">
        <v>42.965080261230469</v>
      </c>
      <c r="C22" s="18">
        <v>35.652820587158203</v>
      </c>
      <c r="D22" s="18">
        <v>39.235649108886719</v>
      </c>
      <c r="E22" s="18">
        <v>38.457019805908203</v>
      </c>
      <c r="F22" s="18">
        <v>27.563070297241211</v>
      </c>
      <c r="G22" s="18">
        <v>36.230060577392578</v>
      </c>
      <c r="H22" s="18">
        <v>32.863368988037109</v>
      </c>
      <c r="I22" s="18">
        <v>41.045070648193359</v>
      </c>
      <c r="J22" s="18">
        <v>40.692161560058587</v>
      </c>
      <c r="K22" s="18">
        <v>34.131889343261719</v>
      </c>
      <c r="L22" s="18">
        <v>32.501079559326172</v>
      </c>
      <c r="M22" s="18">
        <v>35.433521270751953</v>
      </c>
      <c r="N22" s="18">
        <v>33.153209686279297</v>
      </c>
      <c r="O22" s="18">
        <v>39.432571411132813</v>
      </c>
      <c r="P22" s="18">
        <v>33.938037872314453</v>
      </c>
      <c r="Q22" s="18">
        <v>41.465808868408203</v>
      </c>
      <c r="R22" s="18">
        <v>34.0372314453125</v>
      </c>
    </row>
    <row r="23" spans="1:18" x14ac:dyDescent="0.25">
      <c r="A23">
        <v>1979</v>
      </c>
      <c r="B23" s="17">
        <v>43.080989837646477</v>
      </c>
      <c r="C23" s="18">
        <v>35.810569763183587</v>
      </c>
      <c r="D23" s="18">
        <v>38.177200317382813</v>
      </c>
      <c r="E23" s="18">
        <v>38.209239959716797</v>
      </c>
      <c r="F23" s="18">
        <v>26.88064002990723</v>
      </c>
      <c r="G23" s="18">
        <v>35.840728759765618</v>
      </c>
      <c r="H23" s="18">
        <v>34.108978271484382</v>
      </c>
      <c r="I23" s="18">
        <v>40.675708770751953</v>
      </c>
      <c r="J23" s="18">
        <v>40.600471496582031</v>
      </c>
      <c r="K23" s="18">
        <v>34.084468841552727</v>
      </c>
      <c r="L23" s="18">
        <v>32.657489776611328</v>
      </c>
      <c r="M23" s="18">
        <v>38.279739379882813</v>
      </c>
      <c r="N23" s="18">
        <v>31.947809219360352</v>
      </c>
      <c r="O23" s="18">
        <v>38.965610504150391</v>
      </c>
      <c r="P23" s="18">
        <v>33.658638000488281</v>
      </c>
      <c r="Q23" s="18">
        <v>41.823871612548828</v>
      </c>
      <c r="R23" s="18">
        <v>33.626480102539063</v>
      </c>
    </row>
    <row r="24" spans="1:18" x14ac:dyDescent="0.25">
      <c r="A24">
        <v>1980</v>
      </c>
      <c r="B24" s="17">
        <v>36.042030334472663</v>
      </c>
      <c r="C24" s="18">
        <v>37.026699066162109</v>
      </c>
      <c r="D24" s="18">
        <v>38.096469879150391</v>
      </c>
      <c r="E24" s="18">
        <v>36.84375</v>
      </c>
      <c r="F24" s="18">
        <v>28.23314094543457</v>
      </c>
      <c r="G24" s="18">
        <v>36.030300140380859</v>
      </c>
      <c r="H24" s="18">
        <v>32.942600250244141</v>
      </c>
      <c r="I24" s="18">
        <v>40.379558563232422</v>
      </c>
      <c r="J24" s="18">
        <v>41.000148773193359</v>
      </c>
      <c r="K24" s="18">
        <v>34.517978668212891</v>
      </c>
      <c r="L24" s="18">
        <v>32.185760498046882</v>
      </c>
      <c r="M24" s="18">
        <v>40.388729095458977</v>
      </c>
      <c r="N24" s="18">
        <v>32.877769470214837</v>
      </c>
      <c r="O24" s="18">
        <v>38.567550659179688</v>
      </c>
      <c r="P24" s="18">
        <v>32.869998931884773</v>
      </c>
      <c r="Q24" s="18">
        <v>42.346298217773438</v>
      </c>
      <c r="R24" s="18">
        <v>33.514389038085938</v>
      </c>
    </row>
    <row r="25" spans="1:18" x14ac:dyDescent="0.25">
      <c r="A25">
        <v>1981</v>
      </c>
      <c r="B25" s="17">
        <v>35.423488616943359</v>
      </c>
      <c r="C25" s="18">
        <v>35.924339294433587</v>
      </c>
      <c r="D25" s="18">
        <v>37.830848693847663</v>
      </c>
      <c r="E25" s="18">
        <v>34.465171813964837</v>
      </c>
      <c r="F25" s="18">
        <v>26.57710075378418</v>
      </c>
      <c r="G25" s="18">
        <v>35.172988891601563</v>
      </c>
      <c r="H25" s="18">
        <v>32.571678161621087</v>
      </c>
      <c r="I25" s="18">
        <v>39.038650512695313</v>
      </c>
      <c r="J25" s="18">
        <v>40.916419982910163</v>
      </c>
      <c r="K25" s="18">
        <v>34.746471405029297</v>
      </c>
      <c r="L25" s="18">
        <v>34.014450073242188</v>
      </c>
      <c r="M25" s="18">
        <v>40.680919647216797</v>
      </c>
      <c r="N25" s="18">
        <v>33.939849853515618</v>
      </c>
      <c r="O25" s="18">
        <v>37.673019409179688</v>
      </c>
      <c r="P25" s="18">
        <v>32.689998626708977</v>
      </c>
      <c r="Q25" s="18">
        <v>41.894660949707031</v>
      </c>
      <c r="R25" s="18">
        <v>34.088279724121087</v>
      </c>
    </row>
    <row r="26" spans="1:18" x14ac:dyDescent="0.25">
      <c r="A26">
        <v>1982</v>
      </c>
      <c r="B26" s="17">
        <v>34.778472900390618</v>
      </c>
      <c r="C26" s="18">
        <v>34.743671417236328</v>
      </c>
      <c r="D26" s="18">
        <v>36.904590606689453</v>
      </c>
      <c r="E26" s="18">
        <v>34.406200408935547</v>
      </c>
      <c r="F26" s="18">
        <v>26.75724983215332</v>
      </c>
      <c r="G26" s="18">
        <v>34.098640441894531</v>
      </c>
      <c r="H26" s="18">
        <v>30.660640716552731</v>
      </c>
      <c r="I26" s="18">
        <v>38.132980346679688</v>
      </c>
      <c r="J26" s="18">
        <v>40.320621490478523</v>
      </c>
      <c r="K26" s="18">
        <v>34.068931579589837</v>
      </c>
      <c r="L26" s="18">
        <v>34.555931091308587</v>
      </c>
      <c r="M26" s="18">
        <v>40.848209381103523</v>
      </c>
      <c r="N26" s="18">
        <v>33.645221710205078</v>
      </c>
      <c r="O26" s="18">
        <v>37.061809539794922</v>
      </c>
      <c r="P26" s="18">
        <v>32.200000762939453</v>
      </c>
      <c r="Q26" s="18">
        <v>41.491691589355469</v>
      </c>
      <c r="R26" s="18">
        <v>32.909690856933587</v>
      </c>
    </row>
    <row r="27" spans="1:18" x14ac:dyDescent="0.25">
      <c r="A27">
        <v>1983</v>
      </c>
      <c r="B27" s="17">
        <v>35.08514404296875</v>
      </c>
      <c r="C27" s="18">
        <v>34.825698852539063</v>
      </c>
      <c r="D27" s="18">
        <v>36.410430908203118</v>
      </c>
      <c r="E27" s="18">
        <v>34.140590667724609</v>
      </c>
      <c r="F27" s="18">
        <v>26.98975944519043</v>
      </c>
      <c r="G27" s="18">
        <v>33.514579772949219</v>
      </c>
      <c r="H27" s="18">
        <v>31.310600280761719</v>
      </c>
      <c r="I27" s="18">
        <v>36.958530426025391</v>
      </c>
      <c r="J27" s="18">
        <v>39.472660064697273</v>
      </c>
      <c r="K27" s="18">
        <v>33.906570434570313</v>
      </c>
      <c r="L27" s="18">
        <v>33.403709411621087</v>
      </c>
      <c r="M27" s="18">
        <v>42.047969818115227</v>
      </c>
      <c r="N27" s="18">
        <v>34.496078491210938</v>
      </c>
      <c r="O27" s="18">
        <v>36.794498443603523</v>
      </c>
      <c r="P27" s="18">
        <v>31.89999961853027</v>
      </c>
      <c r="Q27" s="18">
        <v>40.901451110839837</v>
      </c>
      <c r="R27" s="18">
        <v>31.497219085693359</v>
      </c>
    </row>
    <row r="28" spans="1:18" x14ac:dyDescent="0.25">
      <c r="A28">
        <v>1984</v>
      </c>
      <c r="B28" s="17">
        <v>34.515850067138672</v>
      </c>
      <c r="C28" s="18">
        <v>35.299659729003913</v>
      </c>
      <c r="D28" s="18">
        <v>35.235950469970703</v>
      </c>
      <c r="E28" s="18">
        <v>33.480850219726563</v>
      </c>
      <c r="F28" s="18">
        <v>27.290580749511719</v>
      </c>
      <c r="G28" s="18">
        <v>33.121158599853523</v>
      </c>
      <c r="H28" s="18">
        <v>30.461729049682621</v>
      </c>
      <c r="I28" s="18">
        <v>36.528419494628913</v>
      </c>
      <c r="J28" s="18">
        <v>39.834510803222663</v>
      </c>
      <c r="K28" s="18">
        <v>34.551780700683587</v>
      </c>
      <c r="L28" s="18">
        <v>34.586429595947273</v>
      </c>
      <c r="M28" s="18">
        <v>43.468540191650391</v>
      </c>
      <c r="N28" s="18">
        <v>32.841808319091797</v>
      </c>
      <c r="O28" s="18">
        <v>35.920799255371087</v>
      </c>
      <c r="P28" s="18">
        <v>31.920000076293949</v>
      </c>
      <c r="Q28" s="18">
        <v>40.382358551025391</v>
      </c>
      <c r="R28" s="18">
        <v>31.87277984619141</v>
      </c>
    </row>
    <row r="29" spans="1:18" x14ac:dyDescent="0.25">
      <c r="A29">
        <v>1985</v>
      </c>
      <c r="B29" s="17">
        <v>34.851387023925781</v>
      </c>
      <c r="C29" s="18">
        <v>35.072879791259773</v>
      </c>
      <c r="D29" s="18">
        <v>35.582439422607422</v>
      </c>
      <c r="E29" s="18">
        <v>34.2135009765625</v>
      </c>
      <c r="F29" s="18">
        <v>27.62063026428223</v>
      </c>
      <c r="G29" s="18">
        <v>32.787128448486328</v>
      </c>
      <c r="H29" s="18">
        <v>30.456939697265621</v>
      </c>
      <c r="I29" s="18">
        <v>36.099941253662109</v>
      </c>
      <c r="J29" s="18">
        <v>39.594409942626953</v>
      </c>
      <c r="K29" s="18">
        <v>34.868160247802727</v>
      </c>
      <c r="L29" s="18">
        <v>33.268138885498047</v>
      </c>
      <c r="M29" s="18">
        <v>42.852851867675781</v>
      </c>
      <c r="N29" s="18">
        <v>32.822578430175781</v>
      </c>
      <c r="O29" s="18">
        <v>36.209068298339837</v>
      </c>
      <c r="P29" s="18">
        <v>32.009998321533203</v>
      </c>
      <c r="Q29" s="18">
        <v>39.762779235839837</v>
      </c>
      <c r="R29" s="18">
        <v>30.864519119262699</v>
      </c>
    </row>
    <row r="30" spans="1:18" x14ac:dyDescent="0.25">
      <c r="A30">
        <v>1986</v>
      </c>
      <c r="B30" s="17">
        <v>34.366794586181641</v>
      </c>
      <c r="C30" s="18">
        <v>32.777858734130859</v>
      </c>
      <c r="D30" s="18">
        <v>35.291530609130859</v>
      </c>
      <c r="E30" s="18">
        <v>33.229148864746087</v>
      </c>
      <c r="F30" s="18">
        <v>28.24608039855957</v>
      </c>
      <c r="G30" s="18">
        <v>31.803949356079102</v>
      </c>
      <c r="H30" s="18">
        <v>31.090419769287109</v>
      </c>
      <c r="I30" s="18">
        <v>34.896999359130859</v>
      </c>
      <c r="J30" s="18">
        <v>39.012458801269531</v>
      </c>
      <c r="K30" s="18">
        <v>32.419330596923828</v>
      </c>
      <c r="L30" s="18">
        <v>31.919950485229489</v>
      </c>
      <c r="M30" s="18">
        <v>36.270469665527337</v>
      </c>
      <c r="N30" s="18">
        <v>30.644540786743161</v>
      </c>
      <c r="O30" s="18">
        <v>36.654300689697273</v>
      </c>
      <c r="P30" s="18">
        <v>31.889999389648441</v>
      </c>
      <c r="Q30" s="18">
        <v>39.13433837890625</v>
      </c>
      <c r="R30" s="18">
        <v>29.44326019287109</v>
      </c>
    </row>
    <row r="31" spans="1:18" x14ac:dyDescent="0.25">
      <c r="A31">
        <v>1987</v>
      </c>
      <c r="B31" s="17">
        <v>34.090187072753913</v>
      </c>
      <c r="C31" s="18">
        <v>31.358810424804691</v>
      </c>
      <c r="D31" s="18">
        <v>34.791961669921882</v>
      </c>
      <c r="E31" s="18">
        <v>32.101799011230469</v>
      </c>
      <c r="F31" s="18">
        <v>27.918020248413089</v>
      </c>
      <c r="G31" s="18">
        <v>30.940179824829102</v>
      </c>
      <c r="H31" s="18">
        <v>29.960990905761719</v>
      </c>
      <c r="I31" s="18">
        <v>34.578098297119141</v>
      </c>
      <c r="J31" s="18">
        <v>38.942359924316413</v>
      </c>
      <c r="K31" s="18">
        <v>30.7618408203125</v>
      </c>
      <c r="L31" s="18">
        <v>30.229410171508789</v>
      </c>
      <c r="M31" s="18">
        <v>35.806919097900391</v>
      </c>
      <c r="N31" s="18">
        <v>30.372629165649411</v>
      </c>
      <c r="O31" s="18">
        <v>36.094070434570313</v>
      </c>
      <c r="P31" s="18">
        <v>31.45999908447266</v>
      </c>
      <c r="Q31" s="18">
        <v>38.030521392822273</v>
      </c>
      <c r="R31" s="18">
        <v>29.19972991943359</v>
      </c>
    </row>
    <row r="32" spans="1:18" x14ac:dyDescent="0.25">
      <c r="A32">
        <v>1988</v>
      </c>
      <c r="B32" s="17">
        <v>33.772335052490227</v>
      </c>
      <c r="C32" s="18">
        <v>29.875179290771481</v>
      </c>
      <c r="D32" s="18">
        <v>34.583389282226563</v>
      </c>
      <c r="E32" s="18">
        <v>32.880889892578118</v>
      </c>
      <c r="F32" s="18">
        <v>27.086090087890621</v>
      </c>
      <c r="G32" s="18">
        <v>30.743949890136719</v>
      </c>
      <c r="H32" s="18">
        <v>29.374809265136719</v>
      </c>
      <c r="I32" s="18">
        <v>34.441070556640618</v>
      </c>
      <c r="J32" s="18">
        <v>39.111770629882813</v>
      </c>
      <c r="K32" s="18">
        <v>30.968660354614261</v>
      </c>
      <c r="L32" s="18">
        <v>28.587429046630859</v>
      </c>
      <c r="M32" s="18">
        <v>34.004199981689453</v>
      </c>
      <c r="N32" s="18">
        <v>32.474510192871087</v>
      </c>
      <c r="O32" s="18">
        <v>35.931400299072273</v>
      </c>
      <c r="P32" s="18">
        <v>31.610000610351559</v>
      </c>
      <c r="Q32" s="18">
        <v>37.212989807128913</v>
      </c>
      <c r="R32" s="18">
        <v>29.606489181518551</v>
      </c>
    </row>
    <row r="33" spans="1:18" x14ac:dyDescent="0.25">
      <c r="A33">
        <v>1989</v>
      </c>
      <c r="B33" s="17">
        <v>33.962730407714837</v>
      </c>
      <c r="C33" s="18">
        <v>29.960910797119141</v>
      </c>
      <c r="D33" s="18">
        <v>34.1114501953125</v>
      </c>
      <c r="E33" s="18">
        <v>33.22943115234375</v>
      </c>
      <c r="F33" s="18">
        <v>27.02067947387695</v>
      </c>
      <c r="G33" s="18">
        <v>30.22196006774902</v>
      </c>
      <c r="H33" s="18">
        <v>28.5359001159668</v>
      </c>
      <c r="I33" s="18">
        <v>34.554340362548828</v>
      </c>
      <c r="J33" s="18">
        <v>39.044010162353523</v>
      </c>
      <c r="K33" s="18">
        <v>30.66597938537598</v>
      </c>
      <c r="L33" s="18">
        <v>29.19099044799805</v>
      </c>
      <c r="M33" s="18">
        <v>35.525398254394531</v>
      </c>
      <c r="N33" s="18">
        <v>32.344390869140618</v>
      </c>
      <c r="O33" s="18">
        <v>36.218158721923828</v>
      </c>
      <c r="P33" s="18">
        <v>31.690000534057621</v>
      </c>
      <c r="Q33" s="18">
        <v>36.629669189453118</v>
      </c>
      <c r="R33" s="18">
        <v>28.619039535522461</v>
      </c>
    </row>
    <row r="34" spans="1:18" x14ac:dyDescent="0.25">
      <c r="A34">
        <v>1990</v>
      </c>
      <c r="B34" s="17"/>
      <c r="C34" s="18">
        <v>28.966800689697269</v>
      </c>
      <c r="D34" s="18">
        <v>34.110530853271477</v>
      </c>
      <c r="E34" s="18">
        <v>32.664299011230469</v>
      </c>
      <c r="F34" s="18">
        <v>26.544290542602539</v>
      </c>
      <c r="G34" s="18">
        <v>29.699979782104489</v>
      </c>
      <c r="H34" s="18">
        <v>28.19673919677734</v>
      </c>
      <c r="I34" s="18">
        <v>33.897998809814453</v>
      </c>
      <c r="J34" s="18">
        <v>39.362529754638672</v>
      </c>
      <c r="K34" s="18">
        <v>30.719490051269531</v>
      </c>
      <c r="L34" s="18">
        <v>27.921920776367191</v>
      </c>
      <c r="M34" s="18">
        <v>35.660438537597663</v>
      </c>
      <c r="N34" s="18">
        <v>31.713479995727539</v>
      </c>
      <c r="O34" s="18">
        <v>35.476650238037109</v>
      </c>
      <c r="P34" s="18">
        <v>31.340000152587891</v>
      </c>
      <c r="Q34" s="18">
        <v>35.174240112304688</v>
      </c>
      <c r="R34" s="18">
        <v>27.850320816040039</v>
      </c>
    </row>
    <row r="35" spans="1:18" x14ac:dyDescent="0.25">
      <c r="A35">
        <v>1991</v>
      </c>
      <c r="B35" s="17"/>
      <c r="C35" s="18">
        <v>28.167999267578121</v>
      </c>
      <c r="D35" s="18">
        <v>33.980609893798828</v>
      </c>
      <c r="E35" s="18">
        <v>30.661619186401371</v>
      </c>
      <c r="F35" s="18">
        <v>26.169559478759769</v>
      </c>
      <c r="G35" s="18">
        <v>29.520160675048832</v>
      </c>
      <c r="H35" s="18">
        <v>26.528020858764648</v>
      </c>
      <c r="I35" s="18">
        <v>32.910800933837891</v>
      </c>
      <c r="J35" s="18">
        <v>39.023548126220703</v>
      </c>
      <c r="K35" s="18">
        <v>30.419879913330082</v>
      </c>
      <c r="L35" s="18">
        <v>27.339199066162109</v>
      </c>
      <c r="M35" s="18">
        <v>34.552021026611328</v>
      </c>
      <c r="N35" s="18">
        <v>30.284439086914059</v>
      </c>
      <c r="O35" s="18">
        <v>34.688510894775391</v>
      </c>
      <c r="P35" s="18">
        <v>30.79000091552734</v>
      </c>
      <c r="Q35" s="18">
        <v>33.127010345458977</v>
      </c>
      <c r="R35" s="18">
        <v>26.620059967041019</v>
      </c>
    </row>
    <row r="36" spans="1:18" x14ac:dyDescent="0.25">
      <c r="A36">
        <v>1992</v>
      </c>
      <c r="B36" s="17"/>
      <c r="C36" s="18">
        <v>27.971660614013668</v>
      </c>
      <c r="D36" s="18">
        <v>33.033248901367188</v>
      </c>
      <c r="E36" s="18">
        <v>30.110929489135739</v>
      </c>
      <c r="F36" s="18">
        <v>26.345340728759769</v>
      </c>
      <c r="G36" s="18">
        <v>29.15712928771973</v>
      </c>
      <c r="H36" s="18">
        <v>25.66123008728027</v>
      </c>
      <c r="I36" s="18">
        <v>32.388690948486328</v>
      </c>
      <c r="J36" s="18">
        <v>37.858840942382813</v>
      </c>
      <c r="K36" s="18">
        <v>29.345670700073239</v>
      </c>
      <c r="L36" s="18">
        <v>27.118379592895511</v>
      </c>
      <c r="M36" s="18">
        <v>34.170551300048828</v>
      </c>
      <c r="N36" s="18">
        <v>30.27919960021973</v>
      </c>
      <c r="O36" s="18">
        <v>32.861900329589837</v>
      </c>
      <c r="P36" s="18">
        <v>29.989999771118161</v>
      </c>
      <c r="Q36" s="18">
        <v>31.889669418334961</v>
      </c>
      <c r="R36" s="18">
        <v>25.72842979431152</v>
      </c>
    </row>
    <row r="37" spans="1:18" x14ac:dyDescent="0.25">
      <c r="A37">
        <v>1993</v>
      </c>
      <c r="B37" s="17"/>
      <c r="C37" s="18">
        <v>28.00918006896973</v>
      </c>
      <c r="D37" s="18">
        <v>32.186229705810547</v>
      </c>
      <c r="E37" s="18">
        <v>28.99867057800293</v>
      </c>
      <c r="F37" s="18">
        <v>25.190120697021481</v>
      </c>
      <c r="G37" s="18">
        <v>27.451250076293949</v>
      </c>
      <c r="H37" s="18">
        <v>25.507780075073239</v>
      </c>
      <c r="I37" s="18">
        <v>31.354249954223629</v>
      </c>
      <c r="J37" s="18">
        <v>36.380058288574219</v>
      </c>
      <c r="K37" s="18">
        <v>28.654130935668949</v>
      </c>
      <c r="L37" s="18">
        <v>27.069210052490231</v>
      </c>
      <c r="M37" s="18">
        <v>33.764041900634773</v>
      </c>
      <c r="N37" s="18">
        <v>29.602569580078121</v>
      </c>
      <c r="O37" s="18">
        <v>31.168209075927731</v>
      </c>
      <c r="P37" s="18">
        <v>29.579999923706051</v>
      </c>
      <c r="Q37" s="18">
        <v>31.270929336547852</v>
      </c>
      <c r="R37" s="18">
        <v>25.61001014709473</v>
      </c>
    </row>
    <row r="38" spans="1:18" x14ac:dyDescent="0.25">
      <c r="A38">
        <v>1994</v>
      </c>
      <c r="B38" s="17"/>
      <c r="C38" s="18">
        <v>28.139919281005859</v>
      </c>
      <c r="D38" s="18">
        <v>32.138278961181641</v>
      </c>
      <c r="E38" s="18">
        <v>28.923639297485352</v>
      </c>
      <c r="F38" s="18">
        <v>25.311540603637699</v>
      </c>
      <c r="G38" s="18">
        <v>27.180950164794918</v>
      </c>
      <c r="H38" s="18">
        <v>24.363510131835941</v>
      </c>
      <c r="I38" s="18">
        <v>31.301359176635739</v>
      </c>
      <c r="J38" s="18">
        <v>34.927730560302727</v>
      </c>
      <c r="K38" s="18">
        <v>28.54458045959473</v>
      </c>
      <c r="L38" s="18">
        <v>27.76848030090332</v>
      </c>
      <c r="M38" s="18">
        <v>34.258579254150391</v>
      </c>
      <c r="N38" s="18">
        <v>30.643669128417969</v>
      </c>
      <c r="O38" s="18">
        <v>30.55055046081543</v>
      </c>
      <c r="P38" s="18">
        <v>30.409999847412109</v>
      </c>
      <c r="Q38" s="18">
        <v>31.693330764770511</v>
      </c>
      <c r="R38" s="18">
        <v>26.082950592041019</v>
      </c>
    </row>
    <row r="39" spans="1:18" x14ac:dyDescent="0.25">
      <c r="A39">
        <v>1995</v>
      </c>
      <c r="B39" s="17"/>
      <c r="C39" s="18">
        <v>27.82765007019043</v>
      </c>
      <c r="D39" s="18">
        <v>32.449649810791023</v>
      </c>
      <c r="E39" s="18">
        <v>29.534429550170898</v>
      </c>
      <c r="F39" s="18">
        <v>25.757509231567379</v>
      </c>
      <c r="G39" s="18">
        <v>27.275899887084961</v>
      </c>
      <c r="H39" s="18">
        <v>23.086690902709961</v>
      </c>
      <c r="I39" s="18">
        <v>31.501289367675781</v>
      </c>
      <c r="J39" s="18">
        <v>34.217189788818359</v>
      </c>
      <c r="K39" s="18">
        <v>28.74622917175293</v>
      </c>
      <c r="L39" s="18">
        <v>26.99032020568848</v>
      </c>
      <c r="M39" s="18">
        <v>35.352779388427727</v>
      </c>
      <c r="N39" s="18">
        <v>31.498079299926761</v>
      </c>
      <c r="O39" s="18">
        <v>30.98291015625</v>
      </c>
      <c r="P39" s="18">
        <v>29.829999923706051</v>
      </c>
      <c r="Q39" s="18">
        <v>31.996480941772461</v>
      </c>
      <c r="R39" s="18">
        <v>26.292850494384769</v>
      </c>
    </row>
    <row r="40" spans="1:18" x14ac:dyDescent="0.25">
      <c r="A40">
        <v>1996</v>
      </c>
      <c r="B40" s="17"/>
      <c r="C40" s="18">
        <v>27.10231971740723</v>
      </c>
      <c r="D40" s="18">
        <v>32.295619964599609</v>
      </c>
      <c r="E40" s="18">
        <v>29.14130973815918</v>
      </c>
      <c r="F40" s="18">
        <v>25.951129913330082</v>
      </c>
      <c r="G40" s="18">
        <v>26.606609344482418</v>
      </c>
      <c r="H40" s="18">
        <v>23.025690078735352</v>
      </c>
      <c r="I40" s="18">
        <v>30.502130508422852</v>
      </c>
      <c r="J40" s="18">
        <v>33.917850494384773</v>
      </c>
      <c r="K40" s="18">
        <v>28.43317985534668</v>
      </c>
      <c r="L40" s="18">
        <v>26.742160797119141</v>
      </c>
      <c r="M40" s="18">
        <v>37.720100402832031</v>
      </c>
      <c r="N40" s="18">
        <v>31.74154090881348</v>
      </c>
      <c r="O40" s="18">
        <v>30.458669662475589</v>
      </c>
      <c r="P40" s="18">
        <v>28.809999465942379</v>
      </c>
      <c r="Q40" s="18">
        <v>31.86725997924805</v>
      </c>
      <c r="R40" s="18">
        <v>25.785400390625</v>
      </c>
    </row>
    <row r="41" spans="1:18" x14ac:dyDescent="0.25">
      <c r="A41">
        <v>1997</v>
      </c>
      <c r="B41" s="17"/>
      <c r="C41" s="18">
        <v>27.076690673828121</v>
      </c>
      <c r="D41" s="18">
        <v>32.726978302001953</v>
      </c>
      <c r="E41" s="18">
        <v>29.257810592651371</v>
      </c>
      <c r="F41" s="18">
        <v>26.045150756835941</v>
      </c>
      <c r="G41" s="18">
        <v>26.041229248046879</v>
      </c>
      <c r="H41" s="18">
        <v>21.592550277709961</v>
      </c>
      <c r="I41" s="18">
        <v>30.064229965209961</v>
      </c>
      <c r="J41" s="18">
        <v>33.713951110839837</v>
      </c>
      <c r="K41" s="18">
        <v>27.83015060424805</v>
      </c>
      <c r="L41" s="18">
        <v>26.506790161132809</v>
      </c>
      <c r="M41" s="18">
        <v>38.262901306152337</v>
      </c>
      <c r="N41" s="18">
        <v>31.63949012756348</v>
      </c>
      <c r="O41" s="18">
        <v>30.441400527954102</v>
      </c>
      <c r="P41" s="18">
        <v>28.190000534057621</v>
      </c>
      <c r="Q41" s="18">
        <v>31.074129104614261</v>
      </c>
      <c r="R41" s="18">
        <v>25.38429069519043</v>
      </c>
    </row>
    <row r="42" spans="1:18" x14ac:dyDescent="0.25">
      <c r="A42">
        <v>1998</v>
      </c>
      <c r="B42" s="17"/>
      <c r="C42" s="18">
        <v>26.28313064575195</v>
      </c>
      <c r="D42" s="18">
        <v>32.84259033203125</v>
      </c>
      <c r="E42" s="18">
        <v>28.639530181884769</v>
      </c>
      <c r="F42" s="18">
        <v>26.000640869140621</v>
      </c>
      <c r="G42" s="18">
        <v>25.94564056396484</v>
      </c>
      <c r="H42" s="18">
        <v>22.343320846557621</v>
      </c>
      <c r="I42" s="18">
        <v>29.910030364990231</v>
      </c>
      <c r="J42" s="18">
        <v>32.704551696777337</v>
      </c>
      <c r="K42" s="18">
        <v>27.106000900268551</v>
      </c>
      <c r="L42" s="18">
        <v>25.276569366455082</v>
      </c>
      <c r="M42" s="18">
        <v>33.820289611816413</v>
      </c>
      <c r="N42" s="18">
        <v>31.136289596557621</v>
      </c>
      <c r="O42" s="18">
        <v>30.196670532226559</v>
      </c>
      <c r="P42" s="18">
        <v>27.430000305175781</v>
      </c>
      <c r="Q42" s="18">
        <v>29.460920333862301</v>
      </c>
      <c r="R42" s="18">
        <v>25.018840789794918</v>
      </c>
    </row>
    <row r="43" spans="1:18" x14ac:dyDescent="0.25">
      <c r="A43">
        <v>1999</v>
      </c>
      <c r="B43" s="17"/>
      <c r="C43" s="18">
        <v>26.190729141235352</v>
      </c>
      <c r="D43" s="18">
        <v>32.900028228759773</v>
      </c>
      <c r="E43" s="18">
        <v>27.953920364379879</v>
      </c>
      <c r="F43" s="18">
        <v>26.222299575805661</v>
      </c>
      <c r="G43" s="18">
        <v>25.49263954162598</v>
      </c>
      <c r="H43" s="18">
        <v>22.295839309692379</v>
      </c>
      <c r="I43" s="18">
        <v>29.311410903930661</v>
      </c>
      <c r="J43" s="18">
        <v>32.429550170898438</v>
      </c>
      <c r="K43" s="18">
        <v>26.313039779663089</v>
      </c>
      <c r="L43" s="18">
        <v>25.512979507446289</v>
      </c>
      <c r="M43" s="18">
        <v>35.711460113525391</v>
      </c>
      <c r="N43" s="18">
        <v>30.415849685668949</v>
      </c>
      <c r="O43" s="18">
        <v>29.989200592041019</v>
      </c>
      <c r="P43" s="18">
        <v>27.430000305175781</v>
      </c>
      <c r="Q43" s="18">
        <v>28.598770141601559</v>
      </c>
      <c r="R43" s="18">
        <v>24.72504997253418</v>
      </c>
    </row>
    <row r="44" spans="1:18" x14ac:dyDescent="0.25">
      <c r="A44">
        <v>2000</v>
      </c>
      <c r="B44" s="17"/>
      <c r="C44" s="18">
        <v>25.566680908203121</v>
      </c>
      <c r="D44" s="18">
        <v>32.774848937988281</v>
      </c>
      <c r="E44" s="18">
        <v>28.089519500732418</v>
      </c>
      <c r="F44" s="18">
        <v>27.184909820556641</v>
      </c>
      <c r="G44" s="18">
        <v>25.4811897277832</v>
      </c>
      <c r="H44" s="18">
        <v>22.828010559082031</v>
      </c>
      <c r="I44" s="18">
        <v>29.042739868164059</v>
      </c>
      <c r="J44" s="18">
        <v>32.231159210205078</v>
      </c>
      <c r="K44" s="18">
        <v>26.798980712890621</v>
      </c>
      <c r="L44" s="18">
        <v>25.291679382324219</v>
      </c>
      <c r="M44" s="18">
        <v>42.952949523925781</v>
      </c>
      <c r="N44" s="18">
        <v>29.9934196472168</v>
      </c>
      <c r="O44" s="18">
        <v>30.19370079040527</v>
      </c>
      <c r="P44" s="18">
        <v>26.760000228881839</v>
      </c>
      <c r="Q44" s="18">
        <v>28.47661018371582</v>
      </c>
      <c r="R44" s="18">
        <v>24.443489074707031</v>
      </c>
    </row>
    <row r="45" spans="1:18" x14ac:dyDescent="0.25">
      <c r="A45">
        <v>2001</v>
      </c>
      <c r="B45" s="17"/>
      <c r="C45" s="18">
        <v>25.43910026550293</v>
      </c>
      <c r="D45" s="18">
        <v>32.168598175048828</v>
      </c>
      <c r="E45" s="18">
        <v>27.257379531860352</v>
      </c>
      <c r="F45" s="18">
        <v>26.28203010559082</v>
      </c>
      <c r="G45" s="18">
        <v>25.501699447631839</v>
      </c>
      <c r="H45" s="18">
        <v>23.4864501953125</v>
      </c>
      <c r="I45" s="18">
        <v>28.742929458618161</v>
      </c>
      <c r="J45" s="18">
        <v>30.961919784545898</v>
      </c>
      <c r="K45" s="18">
        <v>26.62816047668457</v>
      </c>
      <c r="L45" s="18"/>
      <c r="M45" s="18">
        <v>40.874198913574219</v>
      </c>
      <c r="N45" s="18">
        <v>29.392450332641602</v>
      </c>
      <c r="O45" s="18">
        <v>29.928840637207031</v>
      </c>
      <c r="P45" s="18">
        <v>27.35000038146973</v>
      </c>
      <c r="Q45" s="18">
        <v>27.475519180297852</v>
      </c>
      <c r="R45" s="18">
        <v>23.048580169677731</v>
      </c>
    </row>
    <row r="46" spans="1:18" x14ac:dyDescent="0.25">
      <c r="A46">
        <v>2002</v>
      </c>
      <c r="B46" s="17"/>
      <c r="C46" s="18">
        <v>25.949520111083981</v>
      </c>
      <c r="D46" s="18">
        <v>31.98477935791016</v>
      </c>
      <c r="E46" s="18">
        <v>27.010919570922852</v>
      </c>
      <c r="F46" s="18">
        <v>26.400669097900391</v>
      </c>
      <c r="G46" s="18">
        <v>25.308120727539059</v>
      </c>
      <c r="H46" s="18">
        <v>23.210430145263668</v>
      </c>
      <c r="I46" s="18">
        <v>28.2801399230957</v>
      </c>
      <c r="J46" s="18">
        <v>30.398519515991211</v>
      </c>
      <c r="K46" s="18">
        <v>25.827680587768551</v>
      </c>
      <c r="L46" s="18"/>
      <c r="M46" s="18">
        <v>37.908370971679688</v>
      </c>
      <c r="N46" s="18">
        <v>28.688180923461911</v>
      </c>
      <c r="O46" s="18">
        <v>29.684759140014648</v>
      </c>
      <c r="P46" s="18">
        <v>26.780000686645511</v>
      </c>
      <c r="Q46" s="18">
        <v>26.99037933349609</v>
      </c>
      <c r="R46" s="18"/>
    </row>
    <row r="47" spans="1:18" x14ac:dyDescent="0.25">
      <c r="A47">
        <v>2003</v>
      </c>
      <c r="B47" s="17"/>
      <c r="C47" s="18"/>
      <c r="D47" s="18">
        <v>31.737129211425781</v>
      </c>
      <c r="E47" s="18">
        <v>26.48477935791016</v>
      </c>
      <c r="F47" s="18">
        <v>26.405389785766602</v>
      </c>
      <c r="G47" s="18">
        <v>24.473569869995121</v>
      </c>
      <c r="H47" s="18">
        <v>23.830009460449219</v>
      </c>
      <c r="I47" s="18">
        <v>27.804819107055661</v>
      </c>
      <c r="J47" s="18"/>
      <c r="K47" s="18"/>
      <c r="L47" s="18"/>
      <c r="M47" s="18">
        <v>37.516239166259773</v>
      </c>
      <c r="N47" s="18"/>
      <c r="O47" s="18">
        <v>29.586519241333011</v>
      </c>
      <c r="P47" s="18">
        <v>26.45000076293945</v>
      </c>
      <c r="Q47" s="18">
        <v>26.59016036987305</v>
      </c>
      <c r="R47" s="1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F10-8C17-45D1-B3D4-5B7BEDF50A58}">
  <dimension ref="A1:R47"/>
  <sheetViews>
    <sheetView topLeftCell="A20" workbookViewId="0">
      <selection activeCell="S25" sqref="S25:S34"/>
    </sheetView>
  </sheetViews>
  <sheetFormatPr defaultRowHeight="15" x14ac:dyDescent="0.25"/>
  <sheetData>
    <row r="1" spans="1:18" ht="18.75" x14ac:dyDescent="0.3">
      <c r="A1" s="1" t="s">
        <v>45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>
        <v>35.459682464599609</v>
      </c>
      <c r="C4" s="18">
        <v>31.266439437866211</v>
      </c>
      <c r="D4" s="18">
        <v>48.126094818115227</v>
      </c>
      <c r="E4" s="18">
        <v>77.341781616210938</v>
      </c>
      <c r="F4" s="18">
        <v>65.782196044921875</v>
      </c>
      <c r="G4" s="18">
        <v>26.919622421264648</v>
      </c>
      <c r="H4" s="18">
        <v>21.312530517578121</v>
      </c>
      <c r="I4" s="18">
        <v>26.573429107666019</v>
      </c>
      <c r="J4" s="18">
        <v>20.954343795776371</v>
      </c>
      <c r="K4" s="18">
        <v>90.887092590332031</v>
      </c>
      <c r="L4" s="18">
        <v>52.548824310302727</v>
      </c>
      <c r="M4" s="18">
        <v>73.680961608886719</v>
      </c>
      <c r="N4" s="18">
        <v>37.353939056396477</v>
      </c>
      <c r="O4" s="18">
        <v>16.249818801879879</v>
      </c>
      <c r="P4" s="18">
        <v>53.253501892089837</v>
      </c>
      <c r="Q4" s="18">
        <v>43.255470275878913</v>
      </c>
      <c r="R4" s="18">
        <v>9.693181037902832</v>
      </c>
    </row>
    <row r="5" spans="1:18" x14ac:dyDescent="0.25">
      <c r="A5">
        <v>1961</v>
      </c>
      <c r="B5" s="17">
        <v>33.836784362792969</v>
      </c>
      <c r="C5" s="18">
        <v>29.821073532104489</v>
      </c>
      <c r="D5" s="18">
        <v>46.525959014892578</v>
      </c>
      <c r="E5" s="18">
        <v>80.016273498535156</v>
      </c>
      <c r="F5" s="18">
        <v>61.540672302246087</v>
      </c>
      <c r="G5" s="18">
        <v>26.211549758911129</v>
      </c>
      <c r="H5" s="18">
        <v>21.172319412231449</v>
      </c>
      <c r="I5" s="18">
        <v>26.883281707763668</v>
      </c>
      <c r="J5" s="18">
        <v>20.123086929321289</v>
      </c>
      <c r="K5" s="18">
        <v>88.212913513183594</v>
      </c>
      <c r="L5" s="18">
        <v>52.944568634033203</v>
      </c>
      <c r="M5" s="18">
        <v>72.139976501464844</v>
      </c>
      <c r="N5" s="18">
        <v>39.982894897460938</v>
      </c>
      <c r="O5" s="18">
        <v>17.638801574707031</v>
      </c>
      <c r="P5" s="18">
        <v>54.593181610107422</v>
      </c>
      <c r="Q5" s="18">
        <v>41.533241271972663</v>
      </c>
      <c r="R5" s="18">
        <v>9.4446544647216797</v>
      </c>
    </row>
    <row r="6" spans="1:18" x14ac:dyDescent="0.25">
      <c r="A6">
        <v>1962</v>
      </c>
      <c r="B6" s="17">
        <v>33.466377258300781</v>
      </c>
      <c r="C6" s="18">
        <v>30.15854454040527</v>
      </c>
      <c r="D6" s="18">
        <v>47.171012878417969</v>
      </c>
      <c r="E6" s="18">
        <v>82.437759399414063</v>
      </c>
      <c r="F6" s="18">
        <v>60.337379455566413</v>
      </c>
      <c r="G6" s="18">
        <v>24.8985595703125</v>
      </c>
      <c r="H6" s="18">
        <v>21.926023483276371</v>
      </c>
      <c r="I6" s="18">
        <v>27.11723709106445</v>
      </c>
      <c r="J6" s="18">
        <v>18.671102523803711</v>
      </c>
      <c r="K6" s="18">
        <v>86.703773498535156</v>
      </c>
      <c r="L6" s="18">
        <v>48.803684234619141</v>
      </c>
      <c r="M6" s="18">
        <v>69.34478759765625</v>
      </c>
      <c r="N6" s="18">
        <v>38.321788787841797</v>
      </c>
      <c r="O6" s="18">
        <v>19.60612869262695</v>
      </c>
      <c r="P6" s="18">
        <v>54.494743347167969</v>
      </c>
      <c r="Q6" s="18">
        <v>40.404632568359382</v>
      </c>
      <c r="R6" s="18">
        <v>9.4293241500854492</v>
      </c>
    </row>
    <row r="7" spans="1:18" x14ac:dyDescent="0.25">
      <c r="A7">
        <v>1963</v>
      </c>
      <c r="B7" s="17">
        <v>34.160629272460938</v>
      </c>
      <c r="C7" s="18">
        <v>32.055397033691413</v>
      </c>
      <c r="D7" s="18">
        <v>47.977252960205078</v>
      </c>
      <c r="E7" s="18">
        <v>85.665390014648438</v>
      </c>
      <c r="F7" s="18">
        <v>60.416042327880859</v>
      </c>
      <c r="G7" s="18">
        <v>25.00590896606445</v>
      </c>
      <c r="H7" s="18">
        <v>23.08808708190918</v>
      </c>
      <c r="I7" s="18">
        <v>27.785470962524411</v>
      </c>
      <c r="J7" s="18">
        <v>18.861989974975589</v>
      </c>
      <c r="K7" s="18">
        <v>87.91217041015625</v>
      </c>
      <c r="L7" s="18">
        <v>53.844959259033203</v>
      </c>
      <c r="M7" s="18">
        <v>70.439796447753906</v>
      </c>
      <c r="N7" s="18">
        <v>39.377365112304688</v>
      </c>
      <c r="O7" s="18">
        <v>19.679719924926761</v>
      </c>
      <c r="P7" s="18">
        <v>53.692230224609382</v>
      </c>
      <c r="Q7" s="18">
        <v>40.406585693359382</v>
      </c>
      <c r="R7" s="18">
        <v>9.4707059860229492</v>
      </c>
    </row>
    <row r="8" spans="1:18" x14ac:dyDescent="0.25">
      <c r="A8">
        <v>1964</v>
      </c>
      <c r="B8" s="17">
        <v>34.566139221191413</v>
      </c>
      <c r="C8" s="18">
        <v>31.527284622192379</v>
      </c>
      <c r="D8" s="18">
        <v>48.415096282958977</v>
      </c>
      <c r="E8" s="18">
        <v>86.620452880859375</v>
      </c>
      <c r="F8" s="18">
        <v>61.6781005859375</v>
      </c>
      <c r="G8" s="18">
        <v>25.62296104431152</v>
      </c>
      <c r="H8" s="18">
        <v>23.294668197631839</v>
      </c>
      <c r="I8" s="18">
        <v>26.75519943237305</v>
      </c>
      <c r="J8" s="18">
        <v>19.132730484008789</v>
      </c>
      <c r="K8" s="18">
        <v>86.539817810058594</v>
      </c>
      <c r="L8" s="18">
        <v>50.796028137207031</v>
      </c>
      <c r="M8" s="18">
        <v>71.781082153320313</v>
      </c>
      <c r="N8" s="18">
        <v>50.419784545898438</v>
      </c>
      <c r="O8" s="18">
        <v>21.492391586303711</v>
      </c>
      <c r="P8" s="18">
        <v>53.660713195800781</v>
      </c>
      <c r="Q8" s="18">
        <v>40.518764495849609</v>
      </c>
      <c r="R8" s="18">
        <v>9.7258787155151367</v>
      </c>
    </row>
    <row r="9" spans="1:18" x14ac:dyDescent="0.25">
      <c r="A9">
        <v>1965</v>
      </c>
      <c r="B9" s="17">
        <v>35.816799163818359</v>
      </c>
      <c r="C9" s="18">
        <v>31.035598754882809</v>
      </c>
      <c r="D9" s="18">
        <v>49.613300323486328</v>
      </c>
      <c r="E9" s="18">
        <v>85.261909484863281</v>
      </c>
      <c r="F9" s="18">
        <v>61.388740539550781</v>
      </c>
      <c r="G9" s="18">
        <v>25.749504089355469</v>
      </c>
      <c r="H9" s="18">
        <v>24.245639801025391</v>
      </c>
      <c r="I9" s="18">
        <v>27.677755355834961</v>
      </c>
      <c r="J9" s="18">
        <v>19.600803375244141</v>
      </c>
      <c r="K9" s="18">
        <v>83.929771423339844</v>
      </c>
      <c r="L9" s="18">
        <v>44.781642913818359</v>
      </c>
      <c r="M9" s="18">
        <v>71.817253112792969</v>
      </c>
      <c r="N9" s="18">
        <v>52.902736663818359</v>
      </c>
      <c r="O9" s="18">
        <v>22.708793640136719</v>
      </c>
      <c r="P9" s="18">
        <v>55.158588409423828</v>
      </c>
      <c r="Q9" s="18">
        <v>39.225337982177727</v>
      </c>
      <c r="R9" s="18">
        <v>9.7303466796875</v>
      </c>
    </row>
    <row r="10" spans="1:18" x14ac:dyDescent="0.25">
      <c r="A10">
        <v>1966</v>
      </c>
      <c r="B10" s="17">
        <v>36.628227233886719</v>
      </c>
      <c r="C10" s="18">
        <v>29.973152160644531</v>
      </c>
      <c r="D10" s="18">
        <v>50.316410064697273</v>
      </c>
      <c r="E10" s="18">
        <v>89.370124816894531</v>
      </c>
      <c r="F10" s="18">
        <v>59.87274169921875</v>
      </c>
      <c r="G10" s="18">
        <v>26.4759407043457</v>
      </c>
      <c r="H10" s="18">
        <v>24.716560363769531</v>
      </c>
      <c r="I10" s="18">
        <v>29.030055999755859</v>
      </c>
      <c r="J10" s="18">
        <v>19.557243347167969</v>
      </c>
      <c r="K10" s="18">
        <v>82.381423950195313</v>
      </c>
      <c r="L10" s="18">
        <v>45.967166900634773</v>
      </c>
      <c r="M10" s="18">
        <v>72.533798217773438</v>
      </c>
      <c r="N10" s="18">
        <v>52.805915832519531</v>
      </c>
      <c r="O10" s="18">
        <v>23.890323638916019</v>
      </c>
      <c r="P10" s="18">
        <v>55.518733978271477</v>
      </c>
      <c r="Q10" s="18">
        <v>38.964633941650391</v>
      </c>
      <c r="R10" s="18">
        <v>10.097592353820801</v>
      </c>
    </row>
    <row r="11" spans="1:18" x14ac:dyDescent="0.25">
      <c r="A11">
        <v>1967</v>
      </c>
      <c r="B11" s="17">
        <v>37.226661682128913</v>
      </c>
      <c r="C11" s="18">
        <v>30.114192962646481</v>
      </c>
      <c r="D11" s="18">
        <v>49.683853149414063</v>
      </c>
      <c r="E11" s="18">
        <v>86.239646911621094</v>
      </c>
      <c r="F11" s="18">
        <v>57.854728698730469</v>
      </c>
      <c r="G11" s="18">
        <v>26.188457489013668</v>
      </c>
      <c r="H11" s="18">
        <v>23.642068862915039</v>
      </c>
      <c r="I11" s="18">
        <v>29.30025672912598</v>
      </c>
      <c r="J11" s="18">
        <v>19.052089691162109</v>
      </c>
      <c r="K11" s="18">
        <v>79.591178894042969</v>
      </c>
      <c r="L11" s="18">
        <v>39.779766082763672</v>
      </c>
      <c r="M11" s="18">
        <v>74.773056030273438</v>
      </c>
      <c r="N11" s="18">
        <v>51.549598693847663</v>
      </c>
      <c r="O11" s="18">
        <v>21.746919631958011</v>
      </c>
      <c r="P11" s="18">
        <v>54.613895416259773</v>
      </c>
      <c r="Q11" s="18">
        <v>39.313186645507813</v>
      </c>
      <c r="R11" s="18">
        <v>10.208102226257321</v>
      </c>
    </row>
    <row r="12" spans="1:18" x14ac:dyDescent="0.25">
      <c r="A12">
        <v>1968</v>
      </c>
      <c r="B12" s="17">
        <v>39.090160369873047</v>
      </c>
      <c r="C12" s="18">
        <v>28.34859466552734</v>
      </c>
      <c r="D12" s="18">
        <v>50.410915374755859</v>
      </c>
      <c r="E12" s="18">
        <v>90.623016357421875</v>
      </c>
      <c r="F12" s="18">
        <v>57.879894256591797</v>
      </c>
      <c r="G12" s="18">
        <v>26.571319580078121</v>
      </c>
      <c r="H12" s="18">
        <v>23.103202819824219</v>
      </c>
      <c r="I12" s="18">
        <v>29.87667274475098</v>
      </c>
      <c r="J12" s="18">
        <v>19.074674606323239</v>
      </c>
      <c r="K12" s="18">
        <v>79.654464721679688</v>
      </c>
      <c r="L12" s="18">
        <v>44.663772583007813</v>
      </c>
      <c r="M12" s="18">
        <v>73.593620300292969</v>
      </c>
      <c r="N12" s="18">
        <v>49.794837951660163</v>
      </c>
      <c r="O12" s="18">
        <v>24.657402038574219</v>
      </c>
      <c r="P12" s="18">
        <v>56.83709716796875</v>
      </c>
      <c r="Q12" s="18">
        <v>43.665130615234382</v>
      </c>
      <c r="R12" s="18">
        <v>10.593936920166019</v>
      </c>
    </row>
    <row r="13" spans="1:18" x14ac:dyDescent="0.25">
      <c r="A13">
        <v>1969</v>
      </c>
      <c r="B13" s="17">
        <v>40.571235656738281</v>
      </c>
      <c r="C13" s="18">
        <v>29.82114219665527</v>
      </c>
      <c r="D13" s="18">
        <v>54.232513427734382</v>
      </c>
      <c r="E13" s="18">
        <v>97.949638366699219</v>
      </c>
      <c r="F13" s="18">
        <v>58.468326568603523</v>
      </c>
      <c r="G13" s="18">
        <v>28.739580154418949</v>
      </c>
      <c r="H13" s="18">
        <v>23.46528244018555</v>
      </c>
      <c r="I13" s="18">
        <v>31.844768524169918</v>
      </c>
      <c r="J13" s="18">
        <v>19.484798431396481</v>
      </c>
      <c r="K13" s="18">
        <v>82.784652709960938</v>
      </c>
      <c r="L13" s="18">
        <v>46.908523559570313</v>
      </c>
      <c r="M13" s="18">
        <v>72.030357360839844</v>
      </c>
      <c r="N13" s="18">
        <v>48.176414489746087</v>
      </c>
      <c r="O13" s="18">
        <v>26.0330924987793</v>
      </c>
      <c r="P13" s="18">
        <v>60.694160461425781</v>
      </c>
      <c r="Q13" s="18">
        <v>44.038982391357422</v>
      </c>
      <c r="R13" s="18">
        <v>10.63563346862793</v>
      </c>
    </row>
    <row r="14" spans="1:18" x14ac:dyDescent="0.25">
      <c r="A14">
        <v>1970</v>
      </c>
      <c r="B14" s="17">
        <v>40.318378448486328</v>
      </c>
      <c r="C14" s="18">
        <v>28.962432861328121</v>
      </c>
      <c r="D14" s="18">
        <v>59.711963653564453</v>
      </c>
      <c r="E14" s="18">
        <v>100.4281311035156</v>
      </c>
      <c r="F14" s="18">
        <v>60.321807861328118</v>
      </c>
      <c r="G14" s="18">
        <v>31.085830688476559</v>
      </c>
      <c r="H14" s="18">
        <v>23.462625503540039</v>
      </c>
      <c r="I14" s="18">
        <v>32.85418701171875</v>
      </c>
      <c r="J14" s="18">
        <v>20.33049201965332</v>
      </c>
      <c r="K14" s="18">
        <v>88.737930297851563</v>
      </c>
      <c r="L14" s="18">
        <v>48.324024200439453</v>
      </c>
      <c r="M14" s="18">
        <v>74.139930725097656</v>
      </c>
      <c r="N14" s="18">
        <v>50.211582183837891</v>
      </c>
      <c r="O14" s="18">
        <v>27.45075607299805</v>
      </c>
      <c r="P14" s="18">
        <v>63.589042663574219</v>
      </c>
      <c r="Q14" s="18">
        <v>45.247737884521477</v>
      </c>
      <c r="R14" s="18">
        <v>11.38864135742188</v>
      </c>
    </row>
    <row r="15" spans="1:18" x14ac:dyDescent="0.25">
      <c r="A15">
        <v>1971</v>
      </c>
      <c r="B15" s="17">
        <v>39.739913940429688</v>
      </c>
      <c r="C15" s="18">
        <v>27.80747222900391</v>
      </c>
      <c r="D15" s="18">
        <v>59.185367584228523</v>
      </c>
      <c r="E15" s="18">
        <v>97.97509765625</v>
      </c>
      <c r="F15" s="18">
        <v>58.494747161865227</v>
      </c>
      <c r="G15" s="18">
        <v>31.76096153259277</v>
      </c>
      <c r="H15" s="18">
        <v>23.728755950927731</v>
      </c>
      <c r="I15" s="18">
        <v>33.224658966064453</v>
      </c>
      <c r="J15" s="18">
        <v>20.702047348022461</v>
      </c>
      <c r="K15" s="18">
        <v>88.536026000976563</v>
      </c>
      <c r="L15" s="18">
        <v>45.481525421142578</v>
      </c>
      <c r="M15" s="18">
        <v>73.002906799316406</v>
      </c>
      <c r="N15" s="18">
        <v>51.907047271728523</v>
      </c>
      <c r="O15" s="18">
        <v>27.574125289916989</v>
      </c>
      <c r="P15" s="18">
        <v>60.333889007568359</v>
      </c>
      <c r="Q15" s="18">
        <v>44.933399200439453</v>
      </c>
      <c r="R15" s="18">
        <v>11.367575645446779</v>
      </c>
    </row>
    <row r="16" spans="1:18" x14ac:dyDescent="0.25">
      <c r="A16">
        <v>1972</v>
      </c>
      <c r="B16" s="17">
        <v>39.230003356933587</v>
      </c>
      <c r="C16" s="18">
        <v>27.70298957824707</v>
      </c>
      <c r="D16" s="18">
        <v>59.090919494628913</v>
      </c>
      <c r="E16" s="18">
        <v>97.548919677734375</v>
      </c>
      <c r="F16" s="18">
        <v>54.942623138427727</v>
      </c>
      <c r="G16" s="18">
        <v>32.391918182373047</v>
      </c>
      <c r="H16" s="18">
        <v>26.185028076171879</v>
      </c>
      <c r="I16" s="18">
        <v>34.733539581298828</v>
      </c>
      <c r="J16" s="18">
        <v>18.858610153198239</v>
      </c>
      <c r="K16" s="18">
        <v>84.717201232910156</v>
      </c>
      <c r="L16" s="18">
        <v>47.431240081787109</v>
      </c>
      <c r="M16" s="18">
        <v>70.428382873535156</v>
      </c>
      <c r="N16" s="18">
        <v>53.733257293701172</v>
      </c>
      <c r="O16" s="18">
        <v>28.926591873168949</v>
      </c>
      <c r="P16" s="18">
        <v>58.819286346435547</v>
      </c>
      <c r="Q16" s="18">
        <v>43.559043884277337</v>
      </c>
      <c r="R16" s="18">
        <v>11.96715831756592</v>
      </c>
    </row>
    <row r="17" spans="1:18" x14ac:dyDescent="0.25">
      <c r="A17">
        <v>1973</v>
      </c>
      <c r="B17" s="17">
        <v>40.759880065917969</v>
      </c>
      <c r="C17" s="18">
        <v>29.440402984619141</v>
      </c>
      <c r="D17" s="18">
        <v>59.262428283691413</v>
      </c>
      <c r="E17" s="18">
        <v>107.7750701904297</v>
      </c>
      <c r="F17" s="18">
        <v>60.465103149414063</v>
      </c>
      <c r="G17" s="18">
        <v>34.279338836669922</v>
      </c>
      <c r="H17" s="18">
        <v>32.533946990966797</v>
      </c>
      <c r="I17" s="18">
        <v>36.741855621337891</v>
      </c>
      <c r="J17" s="18">
        <v>20.046916961669918</v>
      </c>
      <c r="K17" s="18">
        <v>88.922119140625</v>
      </c>
      <c r="L17" s="18">
        <v>49.573406219482422</v>
      </c>
      <c r="M17" s="18">
        <v>76.504844665527344</v>
      </c>
      <c r="N17" s="18">
        <v>54.887607574462891</v>
      </c>
      <c r="O17" s="18">
        <v>29.886894226074219</v>
      </c>
      <c r="P17" s="18">
        <v>59.547981262207031</v>
      </c>
      <c r="Q17" s="18">
        <v>49.803581237792969</v>
      </c>
      <c r="R17" s="18">
        <v>13.713564872741699</v>
      </c>
    </row>
    <row r="18" spans="1:18" x14ac:dyDescent="0.25">
      <c r="A18">
        <v>1974</v>
      </c>
      <c r="B18" s="17">
        <v>48.393688201904297</v>
      </c>
      <c r="C18" s="18">
        <v>31.63861083984375</v>
      </c>
      <c r="D18" s="18">
        <v>64.811729431152344</v>
      </c>
      <c r="E18" s="18">
        <v>120.5175323486328</v>
      </c>
      <c r="F18" s="18">
        <v>68.138984680175781</v>
      </c>
      <c r="G18" s="18">
        <v>42.390964508056641</v>
      </c>
      <c r="H18" s="18">
        <v>34.340808868408203</v>
      </c>
      <c r="I18" s="18">
        <v>44.558479309082031</v>
      </c>
      <c r="J18" s="18">
        <v>27.945053100585941</v>
      </c>
      <c r="K18" s="18">
        <v>102.1402282714844</v>
      </c>
      <c r="L18" s="18">
        <v>55.458515167236328</v>
      </c>
      <c r="M18" s="18">
        <v>83.279029846191406</v>
      </c>
      <c r="N18" s="18">
        <v>62.633426666259773</v>
      </c>
      <c r="O18" s="18">
        <v>33.602973937988281</v>
      </c>
      <c r="P18" s="18">
        <v>63.378421783447273</v>
      </c>
      <c r="Q18" s="18">
        <v>60.962120056152337</v>
      </c>
      <c r="R18" s="18">
        <v>17.316135406494141</v>
      </c>
    </row>
    <row r="19" spans="1:18" x14ac:dyDescent="0.25">
      <c r="A19">
        <v>1975</v>
      </c>
      <c r="B19" s="17">
        <v>46.457828521728523</v>
      </c>
      <c r="C19" s="18">
        <v>28.900405883789059</v>
      </c>
      <c r="D19" s="18">
        <v>61.598152160644531</v>
      </c>
      <c r="E19" s="18">
        <v>104.7795486450195</v>
      </c>
      <c r="F19" s="18">
        <v>62.650646209716797</v>
      </c>
      <c r="G19" s="18">
        <v>36.927505493164063</v>
      </c>
      <c r="H19" s="18">
        <v>35.980827331542969</v>
      </c>
      <c r="I19" s="18">
        <v>41.324771881103523</v>
      </c>
      <c r="J19" s="18">
        <v>25.552427291870121</v>
      </c>
      <c r="K19" s="18">
        <v>93.638175964355469</v>
      </c>
      <c r="L19" s="18">
        <v>54.889247894287109</v>
      </c>
      <c r="M19" s="18">
        <v>78.767204284667969</v>
      </c>
      <c r="N19" s="18">
        <v>48.22216796875</v>
      </c>
      <c r="O19" s="18">
        <v>30.85140228271484</v>
      </c>
      <c r="P19" s="18">
        <v>56.723125457763672</v>
      </c>
      <c r="Q19" s="18">
        <v>53.562061309814453</v>
      </c>
      <c r="R19" s="18">
        <v>16.379690170288089</v>
      </c>
    </row>
    <row r="20" spans="1:18" x14ac:dyDescent="0.25">
      <c r="A20">
        <v>1976</v>
      </c>
      <c r="B20" s="17">
        <v>49.103080749511719</v>
      </c>
      <c r="C20" s="18">
        <v>31.20761680603027</v>
      </c>
      <c r="D20" s="18">
        <v>65.170867919921875</v>
      </c>
      <c r="E20" s="18">
        <v>110.8381042480469</v>
      </c>
      <c r="F20" s="18">
        <v>63.949295043945313</v>
      </c>
      <c r="G20" s="18">
        <v>39.892372131347663</v>
      </c>
      <c r="H20" s="18">
        <v>35.668254852294922</v>
      </c>
      <c r="I20" s="18">
        <v>45.425701141357422</v>
      </c>
      <c r="J20" s="18">
        <v>26.31209564208984</v>
      </c>
      <c r="K20" s="18">
        <v>95.766204833984375</v>
      </c>
      <c r="L20" s="18">
        <v>57.8892822265625</v>
      </c>
      <c r="M20" s="18">
        <v>79.932334899902344</v>
      </c>
      <c r="N20" s="18">
        <v>43.775337219238281</v>
      </c>
      <c r="O20" s="18">
        <v>31.890625</v>
      </c>
      <c r="P20" s="18">
        <v>60.432113647460938</v>
      </c>
      <c r="Q20" s="18">
        <v>58.169788360595703</v>
      </c>
      <c r="R20" s="18">
        <v>16.873659133911129</v>
      </c>
    </row>
    <row r="21" spans="1:18" x14ac:dyDescent="0.25">
      <c r="A21">
        <v>1977</v>
      </c>
      <c r="B21" s="17">
        <v>48.564785003662109</v>
      </c>
      <c r="C21" s="18">
        <v>30.863096237182621</v>
      </c>
      <c r="D21" s="18">
        <v>65.209686279296875</v>
      </c>
      <c r="E21" s="18">
        <v>109.53759765625</v>
      </c>
      <c r="F21" s="18">
        <v>62.842952728271477</v>
      </c>
      <c r="G21" s="18">
        <v>40.849864959716797</v>
      </c>
      <c r="H21" s="18">
        <v>34.588294982910163</v>
      </c>
      <c r="I21" s="18">
        <v>45.851333618164063</v>
      </c>
      <c r="J21" s="18">
        <v>24.552518844604489</v>
      </c>
      <c r="K21" s="18">
        <v>91.196617126464844</v>
      </c>
      <c r="L21" s="18">
        <v>56.796474456787109</v>
      </c>
      <c r="M21" s="18">
        <v>78.6998291015625</v>
      </c>
      <c r="N21" s="18">
        <v>47.037315368652337</v>
      </c>
      <c r="O21" s="18">
        <v>30.97939491271973</v>
      </c>
      <c r="P21" s="18">
        <v>66.902809143066406</v>
      </c>
      <c r="Q21" s="18">
        <v>59.420417785644531</v>
      </c>
      <c r="R21" s="18">
        <v>17.220590591430661</v>
      </c>
    </row>
    <row r="22" spans="1:18" x14ac:dyDescent="0.25">
      <c r="A22">
        <v>1978</v>
      </c>
      <c r="B22" s="17">
        <v>47.071792602539063</v>
      </c>
      <c r="C22" s="18">
        <v>32.151321411132813</v>
      </c>
      <c r="D22" s="18">
        <v>64.740669250488281</v>
      </c>
      <c r="E22" s="18">
        <v>105.6856231689453</v>
      </c>
      <c r="F22" s="18">
        <v>59.208858489990227</v>
      </c>
      <c r="G22" s="18">
        <v>39.488529205322273</v>
      </c>
      <c r="H22" s="18">
        <v>34.652000427246087</v>
      </c>
      <c r="I22" s="18">
        <v>45.114742279052727</v>
      </c>
      <c r="J22" s="18">
        <v>20.499784469604489</v>
      </c>
      <c r="K22" s="18">
        <v>87.713752746582031</v>
      </c>
      <c r="L22" s="18">
        <v>55.041866302490227</v>
      </c>
      <c r="M22" s="18">
        <v>72.2550048828125</v>
      </c>
      <c r="N22" s="18">
        <v>47.753604888916023</v>
      </c>
      <c r="O22" s="18">
        <v>29.520868301391602</v>
      </c>
      <c r="P22" s="18">
        <v>64.069740295410156</v>
      </c>
      <c r="Q22" s="18">
        <v>55.656791687011719</v>
      </c>
      <c r="R22" s="18">
        <v>17.80619049072266</v>
      </c>
    </row>
    <row r="23" spans="1:18" x14ac:dyDescent="0.25">
      <c r="A23">
        <v>1979</v>
      </c>
      <c r="B23" s="17">
        <v>49.485752105712891</v>
      </c>
      <c r="C23" s="18">
        <v>34.958309173583977</v>
      </c>
      <c r="D23" s="18">
        <v>69.698715209960938</v>
      </c>
      <c r="E23" s="18">
        <v>116.2898483276367</v>
      </c>
      <c r="F23" s="18">
        <v>62.885948181152337</v>
      </c>
      <c r="G23" s="18">
        <v>41.879051208496087</v>
      </c>
      <c r="H23" s="18">
        <v>35.082427978515618</v>
      </c>
      <c r="I23" s="18">
        <v>47.706306457519531</v>
      </c>
      <c r="J23" s="18">
        <v>24.038238525390621</v>
      </c>
      <c r="K23" s="18">
        <v>96.28680419921875</v>
      </c>
      <c r="L23" s="18">
        <v>61.897544860839837</v>
      </c>
      <c r="M23" s="18">
        <v>77.27374267578125</v>
      </c>
      <c r="N23" s="18">
        <v>58.929958343505859</v>
      </c>
      <c r="O23" s="18">
        <v>29.62631988525391</v>
      </c>
      <c r="P23" s="18">
        <v>67.314102172851563</v>
      </c>
      <c r="Q23" s="18">
        <v>55.690353393554688</v>
      </c>
      <c r="R23" s="18">
        <v>19.280546188354489</v>
      </c>
    </row>
    <row r="24" spans="1:18" x14ac:dyDescent="0.25">
      <c r="A24">
        <v>1980</v>
      </c>
      <c r="B24" s="17">
        <v>53.336185455322273</v>
      </c>
      <c r="C24" s="18">
        <v>33.861251831054688</v>
      </c>
      <c r="D24" s="18">
        <v>73.995857238769531</v>
      </c>
      <c r="E24" s="18">
        <v>117.16876220703119</v>
      </c>
      <c r="F24" s="18">
        <v>68.16064453125</v>
      </c>
      <c r="G24" s="18">
        <v>44.269317626953118</v>
      </c>
      <c r="H24" s="18">
        <v>38.590442657470703</v>
      </c>
      <c r="I24" s="18">
        <v>46.654396057128913</v>
      </c>
      <c r="J24" s="18">
        <v>28.280385971069339</v>
      </c>
      <c r="K24" s="18">
        <v>102.65745544433589</v>
      </c>
      <c r="L24" s="18">
        <v>62.086811065673828</v>
      </c>
      <c r="M24" s="18">
        <v>80.330162048339844</v>
      </c>
      <c r="N24" s="18">
        <v>62.979080200195313</v>
      </c>
      <c r="O24" s="18">
        <v>33.522945404052727</v>
      </c>
      <c r="P24" s="18">
        <v>72.832115173339844</v>
      </c>
      <c r="Q24" s="18">
        <v>52.326873779296882</v>
      </c>
      <c r="R24" s="18">
        <v>21.08157920837402</v>
      </c>
    </row>
    <row r="25" spans="1:18" x14ac:dyDescent="0.25">
      <c r="A25">
        <v>1981</v>
      </c>
      <c r="B25" s="17">
        <v>56.673419952392578</v>
      </c>
      <c r="C25" s="18">
        <v>33.173725128173828</v>
      </c>
      <c r="D25" s="18">
        <v>76.079673767089844</v>
      </c>
      <c r="E25" s="18">
        <v>126.3526306152344</v>
      </c>
      <c r="F25" s="18">
        <v>74.187370300292969</v>
      </c>
      <c r="G25" s="18">
        <v>46.101940155029297</v>
      </c>
      <c r="H25" s="18">
        <v>39.115352630615227</v>
      </c>
      <c r="I25" s="18">
        <v>48.836246490478523</v>
      </c>
      <c r="J25" s="18">
        <v>28.649030685424801</v>
      </c>
      <c r="K25" s="18">
        <v>109.611946105957</v>
      </c>
      <c r="L25" s="18">
        <v>62.446666717529297</v>
      </c>
      <c r="M25" s="18">
        <v>79.648895263671875</v>
      </c>
      <c r="N25" s="18">
        <v>64.510566711425781</v>
      </c>
      <c r="O25" s="18">
        <v>37.425205230712891</v>
      </c>
      <c r="P25" s="18">
        <v>72.369865417480469</v>
      </c>
      <c r="Q25" s="18">
        <v>50.514209747314453</v>
      </c>
      <c r="R25" s="18">
        <v>20.363241195678711</v>
      </c>
    </row>
    <row r="26" spans="1:18" x14ac:dyDescent="0.25">
      <c r="A26">
        <v>1982</v>
      </c>
      <c r="B26" s="17">
        <v>57.341838836669922</v>
      </c>
      <c r="C26" s="18">
        <v>31.65773773193359</v>
      </c>
      <c r="D26" s="18">
        <v>71.684555053710938</v>
      </c>
      <c r="E26" s="18">
        <v>134.42366027832031</v>
      </c>
      <c r="F26" s="18">
        <v>74.134292602539063</v>
      </c>
      <c r="G26" s="18">
        <v>45.501304626464837</v>
      </c>
      <c r="H26" s="18">
        <v>38.697322845458977</v>
      </c>
      <c r="I26" s="18">
        <v>47.112197875976563</v>
      </c>
      <c r="J26" s="18">
        <v>28.356134414672852</v>
      </c>
      <c r="K26" s="18">
        <v>107.3393020629883</v>
      </c>
      <c r="L26" s="18">
        <v>62.351554870605469</v>
      </c>
      <c r="M26" s="18">
        <v>78.188873291015625</v>
      </c>
      <c r="N26" s="18">
        <v>64.730941772460938</v>
      </c>
      <c r="O26" s="18">
        <v>38.388614654541023</v>
      </c>
      <c r="P26" s="18">
        <v>67.874259948730469</v>
      </c>
      <c r="Q26" s="18">
        <v>50.752407073974609</v>
      </c>
      <c r="R26" s="18">
        <v>18.471620559692379</v>
      </c>
    </row>
    <row r="27" spans="1:18" x14ac:dyDescent="0.25">
      <c r="A27">
        <v>1983</v>
      </c>
      <c r="B27" s="17">
        <v>55.482639312744141</v>
      </c>
      <c r="C27" s="18">
        <v>30.67813873291016</v>
      </c>
      <c r="D27" s="18">
        <v>70.534111022949219</v>
      </c>
      <c r="E27" s="18">
        <v>137.18913269042969</v>
      </c>
      <c r="F27" s="18">
        <v>72.488731384277344</v>
      </c>
      <c r="G27" s="18">
        <v>45.127838134765618</v>
      </c>
      <c r="H27" s="18">
        <v>40.9749755859375</v>
      </c>
      <c r="I27" s="18">
        <v>43.484115600585938</v>
      </c>
      <c r="J27" s="18">
        <v>26.096988677978519</v>
      </c>
      <c r="K27" s="18">
        <v>106.9497833251953</v>
      </c>
      <c r="L27" s="18">
        <v>61.913372039794922</v>
      </c>
      <c r="M27" s="18">
        <v>76.315460205078125</v>
      </c>
      <c r="N27" s="18">
        <v>68.447181701660156</v>
      </c>
      <c r="O27" s="18">
        <v>41.893535614013672</v>
      </c>
      <c r="P27" s="18">
        <v>68.349433898925781</v>
      </c>
      <c r="Q27" s="18">
        <v>52.091300964355469</v>
      </c>
      <c r="R27" s="18">
        <v>17.624307632446289</v>
      </c>
    </row>
    <row r="28" spans="1:18" x14ac:dyDescent="0.25">
      <c r="A28">
        <v>1984</v>
      </c>
      <c r="B28" s="17">
        <v>58.791812896728523</v>
      </c>
      <c r="C28" s="18">
        <v>34.640998840332031</v>
      </c>
      <c r="D28" s="18">
        <v>75.5126953125</v>
      </c>
      <c r="E28" s="18">
        <v>146.6428527832031</v>
      </c>
      <c r="F28" s="18">
        <v>73.978584289550781</v>
      </c>
      <c r="G28" s="18">
        <v>47.646427154541023</v>
      </c>
      <c r="H28" s="18">
        <v>42.330806732177727</v>
      </c>
      <c r="I28" s="18">
        <v>45.805889129638672</v>
      </c>
      <c r="J28" s="18">
        <v>27.26115798950195</v>
      </c>
      <c r="K28" s="18">
        <v>114.4047317504883</v>
      </c>
      <c r="L28" s="18">
        <v>70.573883056640625</v>
      </c>
      <c r="M28" s="18">
        <v>77.480171203613281</v>
      </c>
      <c r="N28" s="18">
        <v>74.853843688964844</v>
      </c>
      <c r="O28" s="18">
        <v>43.447010040283203</v>
      </c>
      <c r="P28" s="18">
        <v>72.168220520019531</v>
      </c>
      <c r="Q28" s="18">
        <v>57.004329681396477</v>
      </c>
      <c r="R28" s="18">
        <v>18.57701301574707</v>
      </c>
    </row>
    <row r="29" spans="1:18" x14ac:dyDescent="0.25">
      <c r="A29">
        <v>1985</v>
      </c>
      <c r="B29" s="17">
        <v>61.519432067871087</v>
      </c>
      <c r="C29" s="18">
        <v>35.246246337890618</v>
      </c>
      <c r="D29" s="18">
        <v>79.06573486328125</v>
      </c>
      <c r="E29" s="18">
        <v>140.55513000488281</v>
      </c>
      <c r="F29" s="18">
        <v>74.850471496582031</v>
      </c>
      <c r="G29" s="18">
        <v>47.159175872802727</v>
      </c>
      <c r="H29" s="18">
        <v>44.363792419433587</v>
      </c>
      <c r="I29" s="18">
        <v>46.108474731445313</v>
      </c>
      <c r="J29" s="18">
        <v>25.541183471679691</v>
      </c>
      <c r="K29" s="18">
        <v>116.79982757568359</v>
      </c>
      <c r="L29" s="18">
        <v>64.612869262695313</v>
      </c>
      <c r="M29" s="18">
        <v>78.744705200195313</v>
      </c>
      <c r="N29" s="18">
        <v>71.509994506835938</v>
      </c>
      <c r="O29" s="18">
        <v>43.499679565429688</v>
      </c>
      <c r="P29" s="18">
        <v>74.652412414550781</v>
      </c>
      <c r="Q29" s="18">
        <v>56.622364044189453</v>
      </c>
      <c r="R29" s="18">
        <v>17.64240837097168</v>
      </c>
    </row>
    <row r="30" spans="1:18" x14ac:dyDescent="0.25">
      <c r="A30">
        <v>1986</v>
      </c>
      <c r="B30" s="17">
        <v>55.117412567138672</v>
      </c>
      <c r="C30" s="18">
        <v>34.744400024414063</v>
      </c>
      <c r="D30" s="18">
        <v>70.925285339355469</v>
      </c>
      <c r="E30" s="18">
        <v>126.71103668212891</v>
      </c>
      <c r="F30" s="18">
        <v>66.168907165527344</v>
      </c>
      <c r="G30" s="18">
        <v>41.344673156738281</v>
      </c>
      <c r="H30" s="18">
        <v>43.680210113525391</v>
      </c>
      <c r="I30" s="18">
        <v>38.941028594970703</v>
      </c>
      <c r="J30" s="18">
        <v>18.744871139526371</v>
      </c>
      <c r="K30" s="18">
        <v>97.60882568359375</v>
      </c>
      <c r="L30" s="18">
        <v>55.481040954589837</v>
      </c>
      <c r="M30" s="18">
        <v>72.853569030761719</v>
      </c>
      <c r="N30" s="18">
        <v>62.800735473632813</v>
      </c>
      <c r="O30" s="18">
        <v>37.577762603759773</v>
      </c>
      <c r="P30" s="18">
        <v>70.621994018554688</v>
      </c>
      <c r="Q30" s="18">
        <v>52.056396484375</v>
      </c>
      <c r="R30" s="18">
        <v>17.95412445068359</v>
      </c>
    </row>
    <row r="31" spans="1:18" x14ac:dyDescent="0.25">
      <c r="A31">
        <v>1987</v>
      </c>
      <c r="B31" s="17">
        <v>52.914875030517578</v>
      </c>
      <c r="C31" s="18">
        <v>34.723438262939453</v>
      </c>
      <c r="D31" s="18">
        <v>69.633995056152344</v>
      </c>
      <c r="E31" s="18">
        <v>122.64662170410161</v>
      </c>
      <c r="F31" s="18">
        <v>62.58148193359375</v>
      </c>
      <c r="G31" s="18">
        <v>41.144371032714837</v>
      </c>
      <c r="H31" s="18">
        <v>46.111312866210938</v>
      </c>
      <c r="I31" s="18">
        <v>38.368251800537109</v>
      </c>
      <c r="J31" s="18">
        <v>17.55620193481445</v>
      </c>
      <c r="K31" s="18">
        <v>96.819709777832031</v>
      </c>
      <c r="L31" s="18">
        <v>52.397792816162109</v>
      </c>
      <c r="M31" s="18">
        <v>67.695114135742188</v>
      </c>
      <c r="N31" s="18">
        <v>69.239013671875</v>
      </c>
      <c r="O31" s="18">
        <v>38.542778015136719</v>
      </c>
      <c r="P31" s="18">
        <v>69.582191467285156</v>
      </c>
      <c r="Q31" s="18">
        <v>51.936164855957031</v>
      </c>
      <c r="R31" s="18">
        <v>19.11618614196777</v>
      </c>
    </row>
    <row r="32" spans="1:18" x14ac:dyDescent="0.25">
      <c r="A32">
        <v>1988</v>
      </c>
      <c r="B32" s="17">
        <v>53.910343170166023</v>
      </c>
      <c r="C32" s="18">
        <v>34.083694458007813</v>
      </c>
      <c r="D32" s="18">
        <v>74.935470581054688</v>
      </c>
      <c r="E32" s="18">
        <v>129.20561218261719</v>
      </c>
      <c r="F32" s="18">
        <v>63.532341003417969</v>
      </c>
      <c r="G32" s="18">
        <v>42.526454925537109</v>
      </c>
      <c r="H32" s="18">
        <v>44.246845245361328</v>
      </c>
      <c r="I32" s="18">
        <v>37.962684631347663</v>
      </c>
      <c r="J32" s="18">
        <v>17.794942855834961</v>
      </c>
      <c r="K32" s="18">
        <v>101.08154296875</v>
      </c>
      <c r="L32" s="18">
        <v>50.625255584716797</v>
      </c>
      <c r="M32" s="18">
        <v>67.400886535644531</v>
      </c>
      <c r="N32" s="18">
        <v>73.429176330566406</v>
      </c>
      <c r="O32" s="18">
        <v>38.839157104492188</v>
      </c>
      <c r="P32" s="18">
        <v>71.420036315917969</v>
      </c>
      <c r="Q32" s="18">
        <v>49.649181365966797</v>
      </c>
      <c r="R32" s="18">
        <v>20.330818176269531</v>
      </c>
    </row>
    <row r="33" spans="1:18" x14ac:dyDescent="0.25">
      <c r="A33">
        <v>1989</v>
      </c>
      <c r="B33" s="17">
        <v>57.664852142333977</v>
      </c>
      <c r="C33" s="18">
        <v>34.358535766601563</v>
      </c>
      <c r="D33" s="18">
        <v>78.906845092773438</v>
      </c>
      <c r="E33" s="18">
        <v>138.3846740722656</v>
      </c>
      <c r="F33" s="18">
        <v>67.066688537597656</v>
      </c>
      <c r="G33" s="18">
        <v>45.686443328857422</v>
      </c>
      <c r="H33" s="18">
        <v>45.670356750488281</v>
      </c>
      <c r="I33" s="18">
        <v>40.167339324951172</v>
      </c>
      <c r="J33" s="18">
        <v>19.780059814453121</v>
      </c>
      <c r="K33" s="18">
        <v>106.49139404296881</v>
      </c>
      <c r="L33" s="18">
        <v>53.819305419921882</v>
      </c>
      <c r="M33" s="18">
        <v>73.293632507324219</v>
      </c>
      <c r="N33" s="18">
        <v>75.04156494140625</v>
      </c>
      <c r="O33" s="18">
        <v>39.45245361328125</v>
      </c>
      <c r="P33" s="18">
        <v>75.544891357421875</v>
      </c>
      <c r="Q33" s="18">
        <v>51.6456298828125</v>
      </c>
      <c r="R33" s="18">
        <v>20.730293273925781</v>
      </c>
    </row>
    <row r="34" spans="1:18" x14ac:dyDescent="0.25">
      <c r="A34">
        <v>1990</v>
      </c>
      <c r="B34" s="17">
        <v>58.361499786376953</v>
      </c>
      <c r="C34" s="18">
        <v>34.461769104003913</v>
      </c>
      <c r="D34" s="18">
        <v>79.0296630859375</v>
      </c>
      <c r="E34" s="18">
        <v>134.00657653808591</v>
      </c>
      <c r="F34" s="18">
        <v>66.584678649902344</v>
      </c>
      <c r="G34" s="18">
        <v>45.130569458007813</v>
      </c>
      <c r="H34" s="18">
        <v>44.881191253662109</v>
      </c>
      <c r="I34" s="18">
        <v>40.045200347900391</v>
      </c>
      <c r="J34" s="18">
        <v>20.647310256958011</v>
      </c>
      <c r="K34" s="18">
        <v>103.6821212768555</v>
      </c>
      <c r="L34" s="18">
        <v>54.535011291503913</v>
      </c>
      <c r="M34" s="18">
        <v>74.734642028808594</v>
      </c>
      <c r="N34" s="18">
        <v>75.177749633789063</v>
      </c>
      <c r="O34" s="18">
        <v>37.502689361572273</v>
      </c>
      <c r="P34" s="18">
        <v>72.001609802246094</v>
      </c>
      <c r="Q34" s="18">
        <v>51.467460632324219</v>
      </c>
      <c r="R34" s="18">
        <v>21.18795013427734</v>
      </c>
    </row>
    <row r="35" spans="1:18" x14ac:dyDescent="0.25">
      <c r="A35">
        <v>1991</v>
      </c>
      <c r="B35" s="17"/>
      <c r="C35" s="18">
        <v>35.237640380859382</v>
      </c>
      <c r="D35" s="18">
        <v>78.769096374511719</v>
      </c>
      <c r="E35" s="18">
        <v>130.82640075683591</v>
      </c>
      <c r="F35" s="18">
        <v>68.532112121582031</v>
      </c>
      <c r="G35" s="18">
        <v>45.047470092773438</v>
      </c>
      <c r="H35" s="18">
        <v>43.149990081787109</v>
      </c>
      <c r="I35" s="18">
        <v>37.98858642578125</v>
      </c>
      <c r="J35" s="18">
        <v>18.730829238891602</v>
      </c>
      <c r="K35" s="18">
        <v>103.3009567260742</v>
      </c>
      <c r="L35" s="18">
        <v>56.428131103515618</v>
      </c>
      <c r="M35" s="18">
        <v>72.622848510742188</v>
      </c>
      <c r="N35" s="18">
        <v>69.908180236816406</v>
      </c>
      <c r="O35" s="18">
        <v>37.407081604003913</v>
      </c>
      <c r="P35" s="18">
        <v>68.586380004882813</v>
      </c>
      <c r="Q35" s="18">
        <v>48.209381103515618</v>
      </c>
      <c r="R35" s="18">
        <v>21.266349792480469</v>
      </c>
    </row>
    <row r="36" spans="1:18" x14ac:dyDescent="0.25">
      <c r="A36">
        <v>1992</v>
      </c>
      <c r="B36" s="17"/>
      <c r="C36" s="18">
        <v>37.692569732666023</v>
      </c>
      <c r="D36" s="18">
        <v>76.002906799316406</v>
      </c>
      <c r="E36" s="18">
        <v>126.4359664916992</v>
      </c>
      <c r="F36" s="18">
        <v>66.430892944335938</v>
      </c>
      <c r="G36" s="18">
        <v>44.026119232177727</v>
      </c>
      <c r="H36" s="18">
        <v>43.449359893798828</v>
      </c>
      <c r="I36" s="18">
        <v>39.345405578613281</v>
      </c>
      <c r="J36" s="18">
        <v>17.882680892944339</v>
      </c>
      <c r="K36" s="18">
        <v>99.637870788574219</v>
      </c>
      <c r="L36" s="18">
        <v>61.140541076660163</v>
      </c>
      <c r="M36" s="18">
        <v>69.547248840332031</v>
      </c>
      <c r="N36" s="18">
        <v>65.142250061035156</v>
      </c>
      <c r="O36" s="18">
        <v>38.039649963378913</v>
      </c>
      <c r="P36" s="18">
        <v>67.868606567382813</v>
      </c>
      <c r="Q36" s="18">
        <v>49.349758148193359</v>
      </c>
      <c r="R36" s="18">
        <v>21.542209625244141</v>
      </c>
    </row>
    <row r="37" spans="1:18" x14ac:dyDescent="0.25">
      <c r="A37">
        <v>1993</v>
      </c>
      <c r="B37" s="17"/>
      <c r="C37" s="18">
        <v>38.351791381835938</v>
      </c>
      <c r="D37" s="18">
        <v>73.358329772949219</v>
      </c>
      <c r="E37" s="18">
        <v>120.2379913330078</v>
      </c>
      <c r="F37" s="18">
        <v>63.976089477539063</v>
      </c>
      <c r="G37" s="18">
        <v>41.841209411621087</v>
      </c>
      <c r="H37" s="18">
        <v>41.309959411621087</v>
      </c>
      <c r="I37" s="18">
        <v>42.431316375732422</v>
      </c>
      <c r="J37" s="18">
        <v>16.311210632324219</v>
      </c>
      <c r="K37" s="18">
        <v>94.706428527832031</v>
      </c>
      <c r="L37" s="18">
        <v>59.263339996337891</v>
      </c>
      <c r="M37" s="18">
        <v>70.125801086425781</v>
      </c>
      <c r="N37" s="18">
        <v>62.448688507080078</v>
      </c>
      <c r="O37" s="18">
        <v>39.409481048583977</v>
      </c>
      <c r="P37" s="18">
        <v>66.710212707519531</v>
      </c>
      <c r="Q37" s="18">
        <v>52.593631744384773</v>
      </c>
      <c r="R37" s="18">
        <v>21.557649612426761</v>
      </c>
    </row>
    <row r="38" spans="1:18" x14ac:dyDescent="0.25">
      <c r="A38">
        <v>1994</v>
      </c>
      <c r="B38" s="17"/>
      <c r="C38" s="18">
        <v>39.718429565429688</v>
      </c>
      <c r="D38" s="18">
        <v>75.149642944335938</v>
      </c>
      <c r="E38" s="18">
        <v>125.5378799438477</v>
      </c>
      <c r="F38" s="18">
        <v>65.6126708984375</v>
      </c>
      <c r="G38" s="18">
        <v>43.401378631591797</v>
      </c>
      <c r="H38" s="18">
        <v>40.282569885253913</v>
      </c>
      <c r="I38" s="18">
        <v>45.074287414550781</v>
      </c>
      <c r="J38" s="18">
        <v>16.441240310668949</v>
      </c>
      <c r="K38" s="18">
        <v>95.985481262207031</v>
      </c>
      <c r="L38" s="18">
        <v>60.436470031738281</v>
      </c>
      <c r="M38" s="18">
        <v>70.586227416992188</v>
      </c>
      <c r="N38" s="18">
        <v>65.605720520019531</v>
      </c>
      <c r="O38" s="18">
        <v>44.396438598632813</v>
      </c>
      <c r="P38" s="18">
        <v>66.58563232421875</v>
      </c>
      <c r="Q38" s="18">
        <v>54.257759094238281</v>
      </c>
      <c r="R38" s="18">
        <v>22.618219375610352</v>
      </c>
    </row>
    <row r="39" spans="1:18" x14ac:dyDescent="0.25">
      <c r="A39">
        <v>1995</v>
      </c>
      <c r="B39" s="17"/>
      <c r="C39" s="18">
        <v>40.15325927734375</v>
      </c>
      <c r="D39" s="18">
        <v>77.784942626953125</v>
      </c>
      <c r="E39" s="18">
        <v>129.36067199707031</v>
      </c>
      <c r="F39" s="18">
        <v>66.717857360839844</v>
      </c>
      <c r="G39" s="18">
        <v>44.691410064697273</v>
      </c>
      <c r="H39" s="18">
        <v>40.818080902099609</v>
      </c>
      <c r="I39" s="18">
        <v>51.247398376464837</v>
      </c>
      <c r="J39" s="18">
        <v>17.314020156860352</v>
      </c>
      <c r="K39" s="18">
        <v>99.495033264160156</v>
      </c>
      <c r="L39" s="18">
        <v>58.596111297607422</v>
      </c>
      <c r="M39" s="18">
        <v>70.103202819824219</v>
      </c>
      <c r="N39" s="18">
        <v>68.574447631835938</v>
      </c>
      <c r="O39" s="18">
        <v>47.852901458740227</v>
      </c>
      <c r="P39" s="18">
        <v>66.157257080078125</v>
      </c>
      <c r="Q39" s="18">
        <v>57.896839141845703</v>
      </c>
      <c r="R39" s="18">
        <v>24.273979187011719</v>
      </c>
    </row>
    <row r="40" spans="1:18" x14ac:dyDescent="0.25">
      <c r="A40">
        <v>1996</v>
      </c>
      <c r="B40" s="17"/>
      <c r="C40" s="18">
        <v>39.977378845214837</v>
      </c>
      <c r="D40" s="18">
        <v>80.743919372558594</v>
      </c>
      <c r="E40" s="18">
        <v>131.87495422363281</v>
      </c>
      <c r="F40" s="18">
        <v>66.073806762695313</v>
      </c>
      <c r="G40" s="18">
        <v>45.604461669921882</v>
      </c>
      <c r="H40" s="18">
        <v>40.401340484619141</v>
      </c>
      <c r="I40" s="18">
        <v>48.172119140625</v>
      </c>
      <c r="J40" s="18">
        <v>19.33234977722168</v>
      </c>
      <c r="K40" s="18">
        <v>101.0114288330078</v>
      </c>
      <c r="L40" s="18">
        <v>57.031070709228523</v>
      </c>
      <c r="M40" s="18">
        <v>72.619583129882813</v>
      </c>
      <c r="N40" s="18">
        <v>69.221817016601563</v>
      </c>
      <c r="O40" s="18">
        <v>50.073299407958977</v>
      </c>
      <c r="P40" s="18">
        <v>67.940277099609375</v>
      </c>
      <c r="Q40" s="18">
        <v>59.849578857421882</v>
      </c>
      <c r="R40" s="18">
        <v>24.58246994018555</v>
      </c>
    </row>
    <row r="41" spans="1:18" x14ac:dyDescent="0.25">
      <c r="A41">
        <v>1997</v>
      </c>
      <c r="B41" s="17"/>
      <c r="C41" s="18">
        <v>42.176799774169922</v>
      </c>
      <c r="D41" s="18">
        <v>85.257926940917969</v>
      </c>
      <c r="E41" s="18">
        <v>141.31437683105469</v>
      </c>
      <c r="F41" s="18">
        <v>68.587066650390625</v>
      </c>
      <c r="G41" s="18">
        <v>49.360401153564453</v>
      </c>
      <c r="H41" s="18">
        <v>39.684841156005859</v>
      </c>
      <c r="I41" s="18">
        <v>50.315631866455078</v>
      </c>
      <c r="J41" s="18">
        <v>20.99990081787109</v>
      </c>
      <c r="K41" s="18">
        <v>104.8999328613281</v>
      </c>
      <c r="L41" s="18">
        <v>57.132099151611328</v>
      </c>
      <c r="M41" s="18">
        <v>75.462173461914063</v>
      </c>
      <c r="N41" s="18">
        <v>71.549888610839844</v>
      </c>
      <c r="O41" s="18">
        <v>55.558650970458977</v>
      </c>
      <c r="P41" s="18">
        <v>75.340652465820313</v>
      </c>
      <c r="Q41" s="18">
        <v>57.840530395507813</v>
      </c>
      <c r="R41" s="18">
        <v>25.59153938293457</v>
      </c>
    </row>
    <row r="42" spans="1:18" x14ac:dyDescent="0.25">
      <c r="A42">
        <v>1998</v>
      </c>
      <c r="B42" s="17"/>
      <c r="C42" s="18">
        <v>41.364959716796882</v>
      </c>
      <c r="D42" s="18"/>
      <c r="E42" s="18">
        <v>149.6824035644531</v>
      </c>
      <c r="F42" s="18"/>
      <c r="G42" s="18"/>
      <c r="H42" s="18"/>
      <c r="I42" s="18"/>
      <c r="J42" s="18">
        <v>21.144987106323239</v>
      </c>
      <c r="K42" s="18"/>
      <c r="L42" s="18"/>
      <c r="M42" s="18">
        <v>74.282089233398438</v>
      </c>
      <c r="N42" s="18"/>
      <c r="O42" s="18">
        <v>57.125301361083977</v>
      </c>
      <c r="P42" s="18"/>
      <c r="Q42" s="18">
        <v>55.989063262939453</v>
      </c>
      <c r="R42" s="18">
        <v>24.690568923950199</v>
      </c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FD84-FE4D-4476-85BC-A03A8D511023}">
  <dimension ref="A1:R47"/>
  <sheetViews>
    <sheetView topLeftCell="A17" workbookViewId="0">
      <selection activeCell="S25" sqref="S25:S34"/>
    </sheetView>
  </sheetViews>
  <sheetFormatPr defaultRowHeight="15" x14ac:dyDescent="0.25"/>
  <sheetData>
    <row r="1" spans="1:18" ht="18.75" x14ac:dyDescent="0.3">
      <c r="A1" s="1" t="s">
        <v>46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25">
      <c r="A5">
        <v>1961</v>
      </c>
      <c r="B5" s="17">
        <v>2.5157232284545898</v>
      </c>
      <c r="C5" s="18">
        <v>2.512131929397583</v>
      </c>
      <c r="D5" s="18">
        <v>3.542256116867065</v>
      </c>
      <c r="E5" s="18">
        <v>0.983146071434021</v>
      </c>
      <c r="F5" s="18">
        <v>3.4516289234161381</v>
      </c>
      <c r="G5" s="18">
        <v>2.4145619869232182</v>
      </c>
      <c r="H5" s="18">
        <v>1.9342360496521001</v>
      </c>
      <c r="I5" s="18">
        <v>2.7027029991149898</v>
      </c>
      <c r="J5" s="18">
        <v>5.4047260284423828</v>
      </c>
      <c r="K5" s="18">
        <v>1.732092976570129</v>
      </c>
      <c r="L5" s="18">
        <v>1.830283045768738</v>
      </c>
      <c r="M5" s="18">
        <v>2.4511079788208008</v>
      </c>
      <c r="N5" s="18">
        <v>1.549002051353455</v>
      </c>
      <c r="O5" s="18">
        <v>2.0059189796447749</v>
      </c>
      <c r="P5" s="18">
        <v>1.845371007919312</v>
      </c>
      <c r="Q5" s="18">
        <v>3.5794179439544682</v>
      </c>
      <c r="R5" s="18">
        <v>1.0751819610595701</v>
      </c>
    </row>
    <row r="6" spans="1:18" x14ac:dyDescent="0.25">
      <c r="A6">
        <v>1962</v>
      </c>
      <c r="B6" s="17">
        <v>2.760736227035522</v>
      </c>
      <c r="C6" s="18">
        <v>-0.27847400307655329</v>
      </c>
      <c r="D6" s="18">
        <v>4.3817849159240723</v>
      </c>
      <c r="E6" s="18">
        <v>1.404729008674622</v>
      </c>
      <c r="F6" s="18">
        <v>7.3778200149536133</v>
      </c>
      <c r="G6" s="18">
        <v>5.2472500801086426</v>
      </c>
      <c r="H6" s="18">
        <v>-0.37950658798217768</v>
      </c>
      <c r="I6" s="18">
        <v>3.947367906570435</v>
      </c>
      <c r="J6" s="18">
        <v>6.7731928825378418</v>
      </c>
      <c r="K6" s="18">
        <v>2.286037921905518</v>
      </c>
      <c r="L6" s="18">
        <v>2.696079015731812</v>
      </c>
      <c r="M6" s="18">
        <v>5.2685160636901864</v>
      </c>
      <c r="N6" s="18">
        <v>2.6620709896087651</v>
      </c>
      <c r="O6" s="18">
        <v>5.6347589492797852</v>
      </c>
      <c r="P6" s="18">
        <v>4.3156161308288574</v>
      </c>
      <c r="Q6" s="18">
        <v>4.1036720275878906</v>
      </c>
      <c r="R6" s="18">
        <v>1.1160709857940669</v>
      </c>
    </row>
    <row r="7" spans="1:18" x14ac:dyDescent="0.25">
      <c r="A7">
        <v>1963</v>
      </c>
      <c r="B7" s="17">
        <v>2.985074520111084</v>
      </c>
      <c r="C7" s="18">
        <v>0.53057807683944702</v>
      </c>
      <c r="D7" s="18">
        <v>2.7087700366973881</v>
      </c>
      <c r="E7" s="18">
        <v>2.153340101242065</v>
      </c>
      <c r="F7" s="18">
        <v>6.1050329208374023</v>
      </c>
      <c r="G7" s="18">
        <v>4.939690113067627</v>
      </c>
      <c r="H7" s="18">
        <v>2.8571429252624512</v>
      </c>
      <c r="I7" s="18">
        <v>7.5949368476867676</v>
      </c>
      <c r="J7" s="18">
        <v>7.6613798141479492</v>
      </c>
      <c r="K7" s="18">
        <v>3.3431839942932129</v>
      </c>
      <c r="L7" s="18">
        <v>1.9093079566955571</v>
      </c>
      <c r="M7" s="18">
        <v>2.587040901184082</v>
      </c>
      <c r="N7" s="18">
        <v>2.0215730667114258</v>
      </c>
      <c r="O7" s="18">
        <v>8.8046274185180664</v>
      </c>
      <c r="P7" s="18">
        <v>3.4397189617156978</v>
      </c>
      <c r="Q7" s="18">
        <v>2.0746889114379878</v>
      </c>
      <c r="R7" s="18">
        <v>1.2141280174255371</v>
      </c>
    </row>
    <row r="8" spans="1:18" x14ac:dyDescent="0.25">
      <c r="A8">
        <v>1964</v>
      </c>
      <c r="B8" s="17">
        <v>2.318840503692627</v>
      </c>
      <c r="C8" s="18">
        <v>2.361110925674438</v>
      </c>
      <c r="D8" s="18">
        <v>3.8685710430145259</v>
      </c>
      <c r="E8" s="18">
        <v>4.1756181716918954</v>
      </c>
      <c r="F8" s="18">
        <v>3.0927829742431641</v>
      </c>
      <c r="G8" s="18">
        <v>3.2293379306793208</v>
      </c>
      <c r="H8" s="18">
        <v>0.92592591047286987</v>
      </c>
      <c r="I8" s="18">
        <v>5.8823528289794922</v>
      </c>
      <c r="J8" s="18">
        <v>3.8381741046905522</v>
      </c>
      <c r="K8" s="18">
        <v>5.7908840179443359</v>
      </c>
      <c r="L8" s="18">
        <v>3.4348170757293701</v>
      </c>
      <c r="M8" s="18">
        <v>5.6799440383911133</v>
      </c>
      <c r="N8" s="18">
        <v>3.4000000953674321</v>
      </c>
      <c r="O8" s="18">
        <v>6.9501872062683114</v>
      </c>
      <c r="P8" s="18">
        <v>3.0813140869140621</v>
      </c>
      <c r="Q8" s="18">
        <v>3.2113819122314449</v>
      </c>
      <c r="R8" s="18">
        <v>1.30861496925354</v>
      </c>
    </row>
    <row r="9" spans="1:18" x14ac:dyDescent="0.25">
      <c r="A9">
        <v>1965</v>
      </c>
      <c r="B9" s="17">
        <v>3.3994333744049068</v>
      </c>
      <c r="C9" s="18">
        <v>3.962007999420166</v>
      </c>
      <c r="D9" s="18">
        <v>4.9309110641479492</v>
      </c>
      <c r="E9" s="18">
        <v>4.0598020553588867</v>
      </c>
      <c r="F9" s="18">
        <v>5.4499998092651367</v>
      </c>
      <c r="G9" s="18">
        <v>2.7147400379180908</v>
      </c>
      <c r="H9" s="18">
        <v>3.119266033172607</v>
      </c>
      <c r="I9" s="18">
        <v>4.4444451332092294</v>
      </c>
      <c r="J9" s="18">
        <v>6.593407154083252</v>
      </c>
      <c r="K9" s="18">
        <v>5.7948980331420898</v>
      </c>
      <c r="L9" s="18">
        <v>3.3962259292602539</v>
      </c>
      <c r="M9" s="18">
        <v>4.2595901489257813</v>
      </c>
      <c r="N9" s="18">
        <v>3.481625080108643</v>
      </c>
      <c r="O9" s="18">
        <v>13.236379623413089</v>
      </c>
      <c r="P9" s="18">
        <v>3.414516925811768</v>
      </c>
      <c r="Q9" s="18">
        <v>4.8050408363342294</v>
      </c>
      <c r="R9" s="18">
        <v>1.668460965156555</v>
      </c>
    </row>
    <row r="10" spans="1:18" x14ac:dyDescent="0.25">
      <c r="A10">
        <v>1966</v>
      </c>
      <c r="B10" s="17">
        <v>3.5616438388824458</v>
      </c>
      <c r="C10" s="18">
        <v>2.9757239818572998</v>
      </c>
      <c r="D10" s="18">
        <v>2.20588207244873</v>
      </c>
      <c r="E10" s="18">
        <v>4.1738920211791992</v>
      </c>
      <c r="F10" s="18">
        <v>7.0649600028991699</v>
      </c>
      <c r="G10" s="18">
        <v>2.570720911026001</v>
      </c>
      <c r="H10" s="18">
        <v>4.982205867767334</v>
      </c>
      <c r="I10" s="18">
        <v>3.1914889812469478</v>
      </c>
      <c r="J10" s="18">
        <v>5.0796627998352051</v>
      </c>
      <c r="K10" s="18">
        <v>5.796870231628418</v>
      </c>
      <c r="L10" s="18">
        <v>2.773722887039185</v>
      </c>
      <c r="M10" s="18">
        <v>3.251337051391602</v>
      </c>
      <c r="N10" s="18">
        <v>5.0467290878295898</v>
      </c>
      <c r="O10" s="18">
        <v>6.194115161895752</v>
      </c>
      <c r="P10" s="18">
        <v>4.7761311531066886</v>
      </c>
      <c r="Q10" s="18">
        <v>3.9083049297332759</v>
      </c>
      <c r="R10" s="18">
        <v>2.9909999370574951</v>
      </c>
    </row>
    <row r="11" spans="1:18" x14ac:dyDescent="0.25">
      <c r="A11">
        <v>1967</v>
      </c>
      <c r="B11" s="17">
        <v>1.58730161190033</v>
      </c>
      <c r="C11" s="18">
        <v>3.1939160823822021</v>
      </c>
      <c r="D11" s="18">
        <v>3.9749999046325679</v>
      </c>
      <c r="E11" s="18">
        <v>2.9128520488739009</v>
      </c>
      <c r="F11" s="18">
        <v>8.2078533172607422</v>
      </c>
      <c r="G11" s="18">
        <v>2.8183190822601318</v>
      </c>
      <c r="H11" s="18">
        <v>1.6949150562286379</v>
      </c>
      <c r="I11" s="18">
        <v>3.0927829742431641</v>
      </c>
      <c r="J11" s="18">
        <v>3.9778809547424321</v>
      </c>
      <c r="K11" s="18">
        <v>3.486793041229248</v>
      </c>
      <c r="L11" s="18">
        <v>6.1079549789428711</v>
      </c>
      <c r="M11" s="18">
        <v>4.4333949089050293</v>
      </c>
      <c r="N11" s="18">
        <v>5.5160140991210938</v>
      </c>
      <c r="O11" s="18">
        <v>6.4145750999450684</v>
      </c>
      <c r="P11" s="18">
        <v>4.0214781761169434</v>
      </c>
      <c r="Q11" s="18">
        <v>2.42314600944519</v>
      </c>
      <c r="R11" s="18">
        <v>2.775635957717896</v>
      </c>
    </row>
    <row r="12" spans="1:18" x14ac:dyDescent="0.25">
      <c r="A12">
        <v>1968</v>
      </c>
      <c r="B12" s="17">
        <v>1.041666626930237</v>
      </c>
      <c r="C12" s="18">
        <v>2.6529109477996831</v>
      </c>
      <c r="D12" s="18">
        <v>2.773102998733521</v>
      </c>
      <c r="E12" s="18">
        <v>2.703326940536499</v>
      </c>
      <c r="F12" s="18">
        <v>7.9536151885986328</v>
      </c>
      <c r="G12" s="18">
        <v>4.552128791809082</v>
      </c>
      <c r="H12" s="18">
        <v>0.33333331346511841</v>
      </c>
      <c r="I12" s="18">
        <v>2</v>
      </c>
      <c r="J12" s="18">
        <v>5.3697028160095206</v>
      </c>
      <c r="K12" s="18">
        <v>3.6756129264831539</v>
      </c>
      <c r="L12" s="18">
        <v>4.2838020324707031</v>
      </c>
      <c r="M12" s="18">
        <v>3.4715340137481689</v>
      </c>
      <c r="N12" s="18">
        <v>6.0708270072937012</v>
      </c>
      <c r="O12" s="18">
        <v>4.9633150100708008</v>
      </c>
      <c r="P12" s="18">
        <v>2.4123508930206299</v>
      </c>
      <c r="Q12" s="18">
        <v>4.7316379547119141</v>
      </c>
      <c r="R12" s="18">
        <v>4.2177209854125977</v>
      </c>
    </row>
    <row r="13" spans="1:18" x14ac:dyDescent="0.25">
      <c r="A13">
        <v>1969</v>
      </c>
      <c r="B13" s="17">
        <v>2.061855554580688</v>
      </c>
      <c r="C13" s="18">
        <v>2.9193589687347412</v>
      </c>
      <c r="D13" s="18">
        <v>3.0804018974304199</v>
      </c>
      <c r="E13" s="18">
        <v>3.7457818984985352</v>
      </c>
      <c r="F13" s="18">
        <v>3.4879310131072998</v>
      </c>
      <c r="G13" s="18">
        <v>6.0393261909484863</v>
      </c>
      <c r="H13" s="18">
        <v>2.4916939735412602</v>
      </c>
      <c r="I13" s="18">
        <v>1.960783958435059</v>
      </c>
      <c r="J13" s="18">
        <v>5.2425918579101563</v>
      </c>
      <c r="K13" s="18">
        <v>7.4282498359680176</v>
      </c>
      <c r="L13" s="18">
        <v>4.8780488967895508</v>
      </c>
      <c r="M13" s="18">
        <v>3.067485094070435</v>
      </c>
      <c r="N13" s="18">
        <v>7.4025120735168457</v>
      </c>
      <c r="O13" s="18">
        <v>2.1244521141052251</v>
      </c>
      <c r="P13" s="18">
        <v>2.4890069961547852</v>
      </c>
      <c r="Q13" s="18">
        <v>5.4619021415710449</v>
      </c>
      <c r="R13" s="18">
        <v>5.414700984954834</v>
      </c>
    </row>
    <row r="14" spans="1:18" x14ac:dyDescent="0.25">
      <c r="A14">
        <v>1970</v>
      </c>
      <c r="B14" s="17">
        <v>3.2828283309936519</v>
      </c>
      <c r="C14" s="18">
        <v>3.906068086624146</v>
      </c>
      <c r="D14" s="18">
        <v>4.3728251457214364</v>
      </c>
      <c r="E14" s="18">
        <v>3.9141280651092529</v>
      </c>
      <c r="F14" s="18">
        <v>6.5148367881774902</v>
      </c>
      <c r="G14" s="18">
        <v>5.8454751968383789</v>
      </c>
      <c r="H14" s="18">
        <v>2.917341947555542</v>
      </c>
      <c r="I14" s="18">
        <v>4.8076930046081543</v>
      </c>
      <c r="J14" s="18">
        <v>7.6732668876647949</v>
      </c>
      <c r="K14" s="18">
        <v>3.6799368858337398</v>
      </c>
      <c r="L14" s="18">
        <v>6.548346996307373</v>
      </c>
      <c r="M14" s="18">
        <v>10.56548023223877</v>
      </c>
      <c r="N14" s="18">
        <v>4.5333328247070313</v>
      </c>
      <c r="O14" s="18">
        <v>5.7576169967651367</v>
      </c>
      <c r="P14" s="18">
        <v>3.6160271167755131</v>
      </c>
      <c r="Q14" s="18">
        <v>6.3618931770324707</v>
      </c>
      <c r="R14" s="18">
        <v>5.8952960968017578</v>
      </c>
    </row>
    <row r="15" spans="1:18" x14ac:dyDescent="0.25">
      <c r="A15">
        <v>1971</v>
      </c>
      <c r="B15" s="17">
        <v>5.1344742774963379</v>
      </c>
      <c r="C15" s="18">
        <v>6.0639958381652832</v>
      </c>
      <c r="D15" s="18">
        <v>4.7042617797851563</v>
      </c>
      <c r="E15" s="18">
        <v>4.3405680656433114</v>
      </c>
      <c r="F15" s="18">
        <v>5.8698768615722656</v>
      </c>
      <c r="G15" s="18">
        <v>5.3975138664245614</v>
      </c>
      <c r="H15" s="18">
        <v>2.9921259880065918</v>
      </c>
      <c r="I15" s="18">
        <v>5.5045871734619141</v>
      </c>
      <c r="J15" s="18">
        <v>6.4169721603393546</v>
      </c>
      <c r="K15" s="18">
        <v>7.4775800704956046</v>
      </c>
      <c r="L15" s="18">
        <v>10.303030014038089</v>
      </c>
      <c r="M15" s="18">
        <v>6.2584118843078613</v>
      </c>
      <c r="N15" s="18">
        <v>7.4960751533508301</v>
      </c>
      <c r="O15" s="18">
        <v>8.2360410690307617</v>
      </c>
      <c r="P15" s="18">
        <v>6.5730128288269043</v>
      </c>
      <c r="Q15" s="18">
        <v>9.4078750610351563</v>
      </c>
      <c r="R15" s="18">
        <v>4.2559289932250977</v>
      </c>
    </row>
    <row r="16" spans="1:18" x14ac:dyDescent="0.25">
      <c r="A16">
        <v>1972</v>
      </c>
      <c r="B16" s="17">
        <v>5.3488373756408691</v>
      </c>
      <c r="C16" s="18">
        <v>5.8649787902832031</v>
      </c>
      <c r="D16" s="18">
        <v>6.362062931060791</v>
      </c>
      <c r="E16" s="18">
        <v>5.4475002288818359</v>
      </c>
      <c r="F16" s="18">
        <v>6.5623478889465332</v>
      </c>
      <c r="G16" s="18">
        <v>6.0630040168762207</v>
      </c>
      <c r="H16" s="18">
        <v>4.2813448905944824</v>
      </c>
      <c r="I16" s="18">
        <v>5.2173910140991211</v>
      </c>
      <c r="J16" s="18">
        <v>4.8240218162536621</v>
      </c>
      <c r="K16" s="18">
        <v>7.7917499542236328</v>
      </c>
      <c r="L16" s="18">
        <v>6.7765569686889648</v>
      </c>
      <c r="M16" s="18">
        <v>7.2197589874267578</v>
      </c>
      <c r="N16" s="18">
        <v>8.9448699951171875</v>
      </c>
      <c r="O16" s="18">
        <v>8.2893657684326172</v>
      </c>
      <c r="P16" s="18">
        <v>6.6601920127868652</v>
      </c>
      <c r="Q16" s="18">
        <v>7.0879120826721191</v>
      </c>
      <c r="R16" s="18">
        <v>3.3056149482727051</v>
      </c>
    </row>
    <row r="17" spans="1:18" x14ac:dyDescent="0.25">
      <c r="A17">
        <v>1973</v>
      </c>
      <c r="B17" s="17">
        <v>6.8432669639587402</v>
      </c>
      <c r="C17" s="18">
        <v>9.4659223556518555</v>
      </c>
      <c r="D17" s="18">
        <v>7.5240821838378906</v>
      </c>
      <c r="E17" s="18">
        <v>6.9552779197692871</v>
      </c>
      <c r="F17" s="18">
        <v>9.3033885955810547</v>
      </c>
      <c r="G17" s="18">
        <v>7.3805971145629883</v>
      </c>
      <c r="H17" s="18">
        <v>15.542519569396971</v>
      </c>
      <c r="I17" s="18">
        <v>10.743800163269039</v>
      </c>
      <c r="J17" s="18">
        <v>11.64593029022217</v>
      </c>
      <c r="K17" s="18">
        <v>8.013519287109375</v>
      </c>
      <c r="L17" s="18">
        <v>8.2332763671875</v>
      </c>
      <c r="M17" s="18">
        <v>7.4424099922180176</v>
      </c>
      <c r="N17" s="18">
        <v>10.3552303314209</v>
      </c>
      <c r="O17" s="18">
        <v>11.39021015167236</v>
      </c>
      <c r="P17" s="18">
        <v>8.7550411224365234</v>
      </c>
      <c r="Q17" s="18">
        <v>9.2098512649536133</v>
      </c>
      <c r="R17" s="18">
        <v>6.2200641632080078</v>
      </c>
    </row>
    <row r="18" spans="1:18" x14ac:dyDescent="0.25">
      <c r="A18">
        <v>1974</v>
      </c>
      <c r="B18" s="17">
        <v>6.8181819915771484</v>
      </c>
      <c r="C18" s="18">
        <v>15.11013984680176</v>
      </c>
      <c r="D18" s="18">
        <v>9.5217914581298828</v>
      </c>
      <c r="E18" s="18">
        <v>12.677889823913571</v>
      </c>
      <c r="F18" s="18">
        <v>15.275199890136721</v>
      </c>
      <c r="G18" s="18">
        <v>13.649319648742679</v>
      </c>
      <c r="H18" s="18">
        <v>26.903549194335941</v>
      </c>
      <c r="I18" s="18">
        <v>19.402980804443359</v>
      </c>
      <c r="J18" s="18">
        <v>23.154569625854489</v>
      </c>
      <c r="K18" s="18">
        <v>9.6093673706054688</v>
      </c>
      <c r="L18" s="18">
        <v>11.251979827880859</v>
      </c>
      <c r="M18" s="18">
        <v>9.4145135879516602</v>
      </c>
      <c r="N18" s="18">
        <v>27.96842002868652</v>
      </c>
      <c r="O18" s="18">
        <v>15.71734046936035</v>
      </c>
      <c r="P18" s="18">
        <v>9.7667474746704102</v>
      </c>
      <c r="Q18" s="18">
        <v>15.903220176696779</v>
      </c>
      <c r="R18" s="18">
        <v>11.03526020050049</v>
      </c>
    </row>
    <row r="19" spans="1:18" x14ac:dyDescent="0.25">
      <c r="A19">
        <v>1975</v>
      </c>
      <c r="B19" s="17">
        <v>5.996131420135498</v>
      </c>
      <c r="C19" s="18">
        <v>15.07196044921875</v>
      </c>
      <c r="D19" s="18">
        <v>8.4452552795410156</v>
      </c>
      <c r="E19" s="18">
        <v>12.7681999206543</v>
      </c>
      <c r="F19" s="18">
        <v>9.6056137084960938</v>
      </c>
      <c r="G19" s="18">
        <v>11.685930252075201</v>
      </c>
      <c r="H19" s="18">
        <v>13.36666965484619</v>
      </c>
      <c r="I19" s="18">
        <v>16.875</v>
      </c>
      <c r="J19" s="18">
        <v>11.782790184021</v>
      </c>
      <c r="K19" s="18">
        <v>10.21273040771484</v>
      </c>
      <c r="L19" s="18">
        <v>14.529910087585449</v>
      </c>
      <c r="M19" s="18">
        <v>11.707070350646971</v>
      </c>
      <c r="N19" s="18">
        <v>20.408159255981449</v>
      </c>
      <c r="O19" s="18">
        <v>16.9256591796875</v>
      </c>
      <c r="P19" s="18">
        <v>6.6964530944824219</v>
      </c>
      <c r="Q19" s="18">
        <v>24.235080718994141</v>
      </c>
      <c r="R19" s="18">
        <v>9.1319303512573242</v>
      </c>
    </row>
    <row r="20" spans="1:18" x14ac:dyDescent="0.25">
      <c r="A20">
        <v>1976</v>
      </c>
      <c r="B20" s="17">
        <v>4.3795619010925293</v>
      </c>
      <c r="C20" s="18">
        <v>13.523909568786619</v>
      </c>
      <c r="D20" s="18">
        <v>7.3186888694763184</v>
      </c>
      <c r="E20" s="18">
        <v>9.1586999893188477</v>
      </c>
      <c r="F20" s="18">
        <v>9</v>
      </c>
      <c r="G20" s="18">
        <v>9.625493049621582</v>
      </c>
      <c r="H20" s="18">
        <v>13.312259674072269</v>
      </c>
      <c r="I20" s="18">
        <v>16.57753944396973</v>
      </c>
      <c r="J20" s="18">
        <v>9.3492212295532227</v>
      </c>
      <c r="K20" s="18">
        <v>9.0574865341186523</v>
      </c>
      <c r="L20" s="18">
        <v>16.79104042053223</v>
      </c>
      <c r="M20" s="18">
        <v>9.1757564544677734</v>
      </c>
      <c r="N20" s="18">
        <v>18.24990081787109</v>
      </c>
      <c r="O20" s="18">
        <v>17.62931060791016</v>
      </c>
      <c r="P20" s="18">
        <v>1.715862035751343</v>
      </c>
      <c r="Q20" s="18">
        <v>16.532550811767582</v>
      </c>
      <c r="R20" s="18">
        <v>5.7370271682739258</v>
      </c>
    </row>
    <row r="21" spans="1:18" x14ac:dyDescent="0.25">
      <c r="A21">
        <v>1977</v>
      </c>
      <c r="B21" s="17">
        <v>3.496503591537476</v>
      </c>
      <c r="C21" s="18">
        <v>12.300239562988279</v>
      </c>
      <c r="D21" s="18">
        <v>5.4749999046325684</v>
      </c>
      <c r="E21" s="18">
        <v>7.1108479499816886</v>
      </c>
      <c r="F21" s="18">
        <v>11.139140129089361</v>
      </c>
      <c r="G21" s="18">
        <v>9.4945564270019531</v>
      </c>
      <c r="H21" s="18">
        <v>12.16996002197266</v>
      </c>
      <c r="I21" s="18">
        <v>17.43119049072266</v>
      </c>
      <c r="J21" s="18">
        <v>8.1587038040161133</v>
      </c>
      <c r="K21" s="18">
        <v>6.4741029739379883</v>
      </c>
      <c r="L21" s="18">
        <v>14.58998966217041</v>
      </c>
      <c r="M21" s="18">
        <v>9.0431556701660156</v>
      </c>
      <c r="N21" s="18">
        <v>27.191669464111332</v>
      </c>
      <c r="O21" s="18">
        <v>24.526689529418949</v>
      </c>
      <c r="P21" s="18">
        <v>1.285269975662231</v>
      </c>
      <c r="Q21" s="18">
        <v>15.881979942321779</v>
      </c>
      <c r="R21" s="18">
        <v>6.4864602088928223</v>
      </c>
    </row>
    <row r="22" spans="1:18" x14ac:dyDescent="0.25">
      <c r="A22">
        <v>1978</v>
      </c>
      <c r="B22" s="17">
        <v>2.5337836742401119</v>
      </c>
      <c r="C22" s="18">
        <v>7.9236741065979004</v>
      </c>
      <c r="D22" s="18">
        <v>3.5790469646453862</v>
      </c>
      <c r="E22" s="18">
        <v>4.4705948829650879</v>
      </c>
      <c r="F22" s="18">
        <v>10.00893974304199</v>
      </c>
      <c r="G22" s="18">
        <v>9.2505588531494141</v>
      </c>
      <c r="H22" s="18">
        <v>12.532529830932621</v>
      </c>
      <c r="I22" s="18">
        <v>12.10937976837158</v>
      </c>
      <c r="J22" s="18">
        <v>4.2107977867126456</v>
      </c>
      <c r="K22" s="18">
        <v>4.08001708984375</v>
      </c>
      <c r="L22" s="18">
        <v>11.89591026306152</v>
      </c>
      <c r="M22" s="18">
        <v>8.1515064239501953</v>
      </c>
      <c r="N22" s="18">
        <v>22.642990112304691</v>
      </c>
      <c r="O22" s="18">
        <v>19.784210205078121</v>
      </c>
      <c r="P22" s="18">
        <v>1.0558140277862551</v>
      </c>
      <c r="Q22" s="18">
        <v>8.2159624099731445</v>
      </c>
      <c r="R22" s="18">
        <v>7.6474637985229492</v>
      </c>
    </row>
    <row r="23" spans="1:18" x14ac:dyDescent="0.25">
      <c r="A23">
        <v>1979</v>
      </c>
      <c r="B23" s="17">
        <v>3.789126873016357</v>
      </c>
      <c r="C23" s="18">
        <v>9.090001106262207</v>
      </c>
      <c r="D23" s="18">
        <v>3.7070939540863042</v>
      </c>
      <c r="E23" s="18">
        <v>4.4690837860107422</v>
      </c>
      <c r="F23" s="18">
        <v>9.6110553741455078</v>
      </c>
      <c r="G23" s="18">
        <v>10.6467399597168</v>
      </c>
      <c r="H23" s="18">
        <v>19.046150207519531</v>
      </c>
      <c r="I23" s="18">
        <v>14.6341495513916</v>
      </c>
      <c r="J23" s="18">
        <v>3.730787992477417</v>
      </c>
      <c r="K23" s="18">
        <v>4.210453987121582</v>
      </c>
      <c r="L23" s="18">
        <v>13.704319953918461</v>
      </c>
      <c r="M23" s="18">
        <v>4.7598252296447754</v>
      </c>
      <c r="N23" s="18">
        <v>23.537580490112301</v>
      </c>
      <c r="O23" s="18">
        <v>15.669010162353519</v>
      </c>
      <c r="P23" s="18">
        <v>3.647643089294434</v>
      </c>
      <c r="Q23" s="18">
        <v>13.4657096862793</v>
      </c>
      <c r="R23" s="18">
        <v>11.26603984832764</v>
      </c>
    </row>
    <row r="24" spans="1:18" x14ac:dyDescent="0.25">
      <c r="A24">
        <v>1980</v>
      </c>
      <c r="B24" s="17">
        <v>5.2380952835083008</v>
      </c>
      <c r="C24" s="18">
        <v>10.12658023834229</v>
      </c>
      <c r="D24" s="18">
        <v>6.3253898620605469</v>
      </c>
      <c r="E24" s="18">
        <v>6.650975227355957</v>
      </c>
      <c r="F24" s="18">
        <v>12.305319786071779</v>
      </c>
      <c r="G24" s="18">
        <v>13.53911018371582</v>
      </c>
      <c r="H24" s="18">
        <v>24.874809265136719</v>
      </c>
      <c r="I24" s="18">
        <v>21.2765998840332</v>
      </c>
      <c r="J24" s="18">
        <v>7.7787070274353027</v>
      </c>
      <c r="K24" s="18">
        <v>6.7333202362060547</v>
      </c>
      <c r="L24" s="18">
        <v>17.092769622802731</v>
      </c>
      <c r="M24" s="18">
        <v>10.89620971679688</v>
      </c>
      <c r="N24" s="18">
        <v>16.691890716552731</v>
      </c>
      <c r="O24" s="18">
        <v>15.54988956451416</v>
      </c>
      <c r="P24" s="18">
        <v>4.0220260620117188</v>
      </c>
      <c r="Q24" s="18">
        <v>17.970590591430661</v>
      </c>
      <c r="R24" s="18">
        <v>13.50936985015869</v>
      </c>
    </row>
    <row r="25" spans="1:18" x14ac:dyDescent="0.25">
      <c r="A25">
        <v>1981</v>
      </c>
      <c r="B25" s="17">
        <v>6.3348417282104492</v>
      </c>
      <c r="C25" s="18">
        <v>9.6917448043823242</v>
      </c>
      <c r="D25" s="18">
        <v>6.8068618774414063</v>
      </c>
      <c r="E25" s="18">
        <v>7.6282739639282227</v>
      </c>
      <c r="F25" s="18">
        <v>11.79158973693848</v>
      </c>
      <c r="G25" s="18">
        <v>13.333330154418951</v>
      </c>
      <c r="H25" s="18">
        <v>24.45895957946777</v>
      </c>
      <c r="I25" s="18">
        <v>17.794490814208981</v>
      </c>
      <c r="J25" s="18">
        <v>4.9113078117370614</v>
      </c>
      <c r="K25" s="18">
        <v>6.7484660148620614</v>
      </c>
      <c r="L25" s="18">
        <v>15.34622955322266</v>
      </c>
      <c r="M25" s="18">
        <v>13.637049674987789</v>
      </c>
      <c r="N25" s="18">
        <v>20.0407600402832</v>
      </c>
      <c r="O25" s="18">
        <v>14.557040214538571</v>
      </c>
      <c r="P25" s="18">
        <v>6.4902191162109384</v>
      </c>
      <c r="Q25" s="18">
        <v>11.879830360412599</v>
      </c>
      <c r="R25" s="18">
        <v>10.315529823303221</v>
      </c>
    </row>
    <row r="26" spans="1:18" x14ac:dyDescent="0.25">
      <c r="A26">
        <v>1982</v>
      </c>
      <c r="B26" s="17">
        <v>5.390070915222168</v>
      </c>
      <c r="C26" s="18">
        <v>11.145509719848629</v>
      </c>
      <c r="D26" s="18">
        <v>5.4404139518737793</v>
      </c>
      <c r="E26" s="18">
        <v>8.7258510589599609</v>
      </c>
      <c r="F26" s="18">
        <v>10.089940071105961</v>
      </c>
      <c r="G26" s="18">
        <v>11.978480339050289</v>
      </c>
      <c r="H26" s="18">
        <v>20.918979644775391</v>
      </c>
      <c r="I26" s="18">
        <v>16.382980346679691</v>
      </c>
      <c r="J26" s="18">
        <v>2.7369759082794189</v>
      </c>
      <c r="K26" s="18">
        <v>5.8620691299438477</v>
      </c>
      <c r="L26" s="18">
        <v>16.170900344848629</v>
      </c>
      <c r="M26" s="18">
        <v>11.37205982208252</v>
      </c>
      <c r="N26" s="18">
        <v>22.730220794677731</v>
      </c>
      <c r="O26" s="18">
        <v>14.40795993804932</v>
      </c>
      <c r="P26" s="18">
        <v>5.6552119255065918</v>
      </c>
      <c r="Q26" s="18">
        <v>8.5905294418334961</v>
      </c>
      <c r="R26" s="18">
        <v>6.1606159210205078</v>
      </c>
    </row>
    <row r="27" spans="1:18" x14ac:dyDescent="0.25">
      <c r="A27">
        <v>1983</v>
      </c>
      <c r="B27" s="17">
        <v>3.230148077011108</v>
      </c>
      <c r="C27" s="18">
        <v>10.113559722900391</v>
      </c>
      <c r="D27" s="18">
        <v>3.335381031036377</v>
      </c>
      <c r="E27" s="18">
        <v>7.6633701324462891</v>
      </c>
      <c r="F27" s="18">
        <v>6.9073090553283691</v>
      </c>
      <c r="G27" s="18">
        <v>9.4595479965209961</v>
      </c>
      <c r="H27" s="18">
        <v>20.241670608520511</v>
      </c>
      <c r="I27" s="18">
        <v>14.62522983551025</v>
      </c>
      <c r="J27" s="18">
        <v>1.882328987121582</v>
      </c>
      <c r="K27" s="18">
        <v>2.8230190277099609</v>
      </c>
      <c r="L27" s="18">
        <v>7.355679988861084</v>
      </c>
      <c r="M27" s="18">
        <v>8.4110479354858398</v>
      </c>
      <c r="N27" s="18">
        <v>25.10564041137695</v>
      </c>
      <c r="O27" s="18">
        <v>12.177450180053709</v>
      </c>
      <c r="P27" s="18">
        <v>2.9676868915557861</v>
      </c>
      <c r="Q27" s="18">
        <v>4.607017993927002</v>
      </c>
      <c r="R27" s="18">
        <v>3.2124350070953369</v>
      </c>
    </row>
    <row r="28" spans="1:18" x14ac:dyDescent="0.25">
      <c r="A28">
        <v>1984</v>
      </c>
      <c r="B28" s="17">
        <v>2.3468058109283452</v>
      </c>
      <c r="C28" s="18">
        <v>3.9501850605010991</v>
      </c>
      <c r="D28" s="18">
        <v>5.6648640632629386</v>
      </c>
      <c r="E28" s="18">
        <v>6.3475170135498047</v>
      </c>
      <c r="F28" s="18">
        <v>6.3220791816711426</v>
      </c>
      <c r="G28" s="18">
        <v>7.6738028526306152</v>
      </c>
      <c r="H28" s="18">
        <v>18.448959350585941</v>
      </c>
      <c r="I28" s="18">
        <v>10.845290184021</v>
      </c>
      <c r="J28" s="18">
        <v>2.2715799808502202</v>
      </c>
      <c r="K28" s="18">
        <v>3.273494958877563</v>
      </c>
      <c r="L28" s="18">
        <v>6.2012138366699219</v>
      </c>
      <c r="M28" s="18">
        <v>6.2791080474853516</v>
      </c>
      <c r="N28" s="18">
        <v>28.783330917358398</v>
      </c>
      <c r="O28" s="18">
        <v>11.27433013916016</v>
      </c>
      <c r="P28" s="18">
        <v>2.911207914352417</v>
      </c>
      <c r="Q28" s="18">
        <v>4.9534091949462891</v>
      </c>
      <c r="R28" s="18">
        <v>4.3172688484191886</v>
      </c>
    </row>
    <row r="29" spans="1:18" x14ac:dyDescent="0.25">
      <c r="A29">
        <v>1985</v>
      </c>
      <c r="B29" s="17">
        <v>2.0382165908813481</v>
      </c>
      <c r="C29" s="18">
        <v>6.739048957824707</v>
      </c>
      <c r="D29" s="18">
        <v>3.189693927764893</v>
      </c>
      <c r="E29" s="18">
        <v>4.86767578125</v>
      </c>
      <c r="F29" s="18">
        <v>4.652379035949707</v>
      </c>
      <c r="G29" s="18">
        <v>5.8310990333557129</v>
      </c>
      <c r="H29" s="18">
        <v>19.302560806274411</v>
      </c>
      <c r="I29" s="18">
        <v>9.2086334228515625</v>
      </c>
      <c r="J29" s="18">
        <v>2.0236918926239009</v>
      </c>
      <c r="K29" s="18">
        <v>2.2239260673522949</v>
      </c>
      <c r="L29" s="18">
        <v>15.394040107727051</v>
      </c>
      <c r="M29" s="18">
        <v>5.6658239364624023</v>
      </c>
      <c r="N29" s="18">
        <v>19.64539909362793</v>
      </c>
      <c r="O29" s="18">
        <v>8.8175268173217773</v>
      </c>
      <c r="P29" s="18">
        <v>3.4299860000610352</v>
      </c>
      <c r="Q29" s="18">
        <v>6.0654211044311523</v>
      </c>
      <c r="R29" s="18">
        <v>3.561115980148315</v>
      </c>
    </row>
    <row r="30" spans="1:18" x14ac:dyDescent="0.25">
      <c r="A30">
        <v>1986</v>
      </c>
      <c r="B30" s="17">
        <v>-0.24968789517879489</v>
      </c>
      <c r="C30" s="18">
        <v>9.0845317840576172</v>
      </c>
      <c r="D30" s="18">
        <v>1.7009210586547849</v>
      </c>
      <c r="E30" s="18">
        <v>1.2955009937286379</v>
      </c>
      <c r="F30" s="18">
        <v>3.7212789058685298</v>
      </c>
      <c r="G30" s="18">
        <v>2.5385270118713379</v>
      </c>
      <c r="H30" s="18">
        <v>23.021089553833011</v>
      </c>
      <c r="I30" s="18">
        <v>5.7971010208129883</v>
      </c>
      <c r="J30" s="18">
        <v>0.61925488710403442</v>
      </c>
      <c r="K30" s="18">
        <v>0.1000249981880188</v>
      </c>
      <c r="L30" s="18">
        <v>13.2178201675415</v>
      </c>
      <c r="M30" s="18">
        <v>7.1867680549621582</v>
      </c>
      <c r="N30" s="18">
        <v>11.76311016082764</v>
      </c>
      <c r="O30" s="18">
        <v>8.7965030670166016</v>
      </c>
      <c r="P30" s="18">
        <v>0.74074071645736694</v>
      </c>
      <c r="Q30" s="18">
        <v>3.4276149272918701</v>
      </c>
      <c r="R30" s="18">
        <v>1.858736038208008</v>
      </c>
    </row>
    <row r="31" spans="1:18" x14ac:dyDescent="0.25">
      <c r="A31">
        <v>1987</v>
      </c>
      <c r="B31" s="17">
        <v>0.12515644729137421</v>
      </c>
      <c r="C31" s="18">
        <v>8.4887456893920898</v>
      </c>
      <c r="D31" s="18">
        <v>1.3999999761581421</v>
      </c>
      <c r="E31" s="18">
        <v>1.55448305606842</v>
      </c>
      <c r="F31" s="18">
        <v>3.985070943832397</v>
      </c>
      <c r="G31" s="18">
        <v>3.2888979911804199</v>
      </c>
      <c r="H31" s="18">
        <v>16.384950637817379</v>
      </c>
      <c r="I31" s="18">
        <v>4.7322540283203116</v>
      </c>
      <c r="J31" s="18">
        <v>0.12501199543476099</v>
      </c>
      <c r="K31" s="18">
        <v>-0.70780247449874878</v>
      </c>
      <c r="L31" s="18">
        <v>15.74114990234375</v>
      </c>
      <c r="M31" s="18">
        <v>8.7259321212768555</v>
      </c>
      <c r="N31" s="18">
        <v>9.3431482315063477</v>
      </c>
      <c r="O31" s="18">
        <v>5.2462592124938956</v>
      </c>
      <c r="P31" s="18">
        <v>1.447963953018188</v>
      </c>
      <c r="Q31" s="18">
        <v>4.1489181518554688</v>
      </c>
      <c r="R31" s="18">
        <v>3.7408759593963619</v>
      </c>
    </row>
    <row r="32" spans="1:18" x14ac:dyDescent="0.25">
      <c r="A32">
        <v>1988</v>
      </c>
      <c r="B32" s="17">
        <v>1.125</v>
      </c>
      <c r="C32" s="18">
        <v>7.2317719459533691</v>
      </c>
      <c r="D32" s="18">
        <v>1.9312950372695921</v>
      </c>
      <c r="E32" s="18">
        <v>1.1620509624481199</v>
      </c>
      <c r="F32" s="18">
        <v>4.5501909255981454</v>
      </c>
      <c r="G32" s="18">
        <v>2.7008171081542969</v>
      </c>
      <c r="H32" s="18">
        <v>13.526749610900881</v>
      </c>
      <c r="I32" s="18">
        <v>5.1129608154296884</v>
      </c>
      <c r="J32" s="18">
        <v>0.67230117321014404</v>
      </c>
      <c r="K32" s="18">
        <v>0.74639379978179932</v>
      </c>
      <c r="L32" s="18">
        <v>6.3751420974731454</v>
      </c>
      <c r="M32" s="18">
        <v>6.698483943939209</v>
      </c>
      <c r="N32" s="18">
        <v>9.6970481872558594</v>
      </c>
      <c r="O32" s="18">
        <v>4.8404788970947266</v>
      </c>
      <c r="P32" s="18">
        <v>1.884477972984314</v>
      </c>
      <c r="Q32" s="18">
        <v>4.9079761505126953</v>
      </c>
      <c r="R32" s="18">
        <v>4.0090880393981934</v>
      </c>
    </row>
    <row r="33" spans="1:18" x14ac:dyDescent="0.25">
      <c r="A33">
        <v>1989</v>
      </c>
      <c r="B33" s="17">
        <v>2.8430161476135249</v>
      </c>
      <c r="C33" s="18">
        <v>7.559424877166748</v>
      </c>
      <c r="D33" s="18">
        <v>2.5638959407806401</v>
      </c>
      <c r="E33" s="18">
        <v>3.105449914932251</v>
      </c>
      <c r="F33" s="18">
        <v>4.784052848815918</v>
      </c>
      <c r="G33" s="18">
        <v>3.4983019828796391</v>
      </c>
      <c r="H33" s="18">
        <v>13.69999980926514</v>
      </c>
      <c r="I33" s="18">
        <v>6.2217187881469727</v>
      </c>
      <c r="J33" s="18">
        <v>2.2800989151000981</v>
      </c>
      <c r="K33" s="18">
        <v>1.082160949707031</v>
      </c>
      <c r="L33" s="18">
        <v>7.490602970123291</v>
      </c>
      <c r="M33" s="18">
        <v>4.5554418563842773</v>
      </c>
      <c r="N33" s="18">
        <v>12.616550445556641</v>
      </c>
      <c r="O33" s="18">
        <v>6.7914681434631348</v>
      </c>
      <c r="P33" s="18">
        <v>3.1629641056060791</v>
      </c>
      <c r="Q33" s="18">
        <v>7.7972707748413086</v>
      </c>
      <c r="R33" s="18">
        <v>4.827003002166748</v>
      </c>
    </row>
    <row r="34" spans="1:18" x14ac:dyDescent="0.25">
      <c r="A34">
        <v>1990</v>
      </c>
      <c r="B34" s="17">
        <v>2.764423131942749</v>
      </c>
      <c r="C34" s="18">
        <v>7.2722601890563956</v>
      </c>
      <c r="D34" s="18">
        <v>3.262321949005127</v>
      </c>
      <c r="E34" s="18">
        <v>3.4528229236602779</v>
      </c>
      <c r="F34" s="18">
        <v>2.652715921401978</v>
      </c>
      <c r="G34" s="18">
        <v>3.3800570964813228</v>
      </c>
      <c r="H34" s="18">
        <v>20.404569625854489</v>
      </c>
      <c r="I34" s="18">
        <v>6.4962730407714844</v>
      </c>
      <c r="J34" s="18">
        <v>3.0594160556793208</v>
      </c>
      <c r="K34" s="18">
        <v>3.2854690551757808</v>
      </c>
      <c r="L34" s="18">
        <v>5.5066080093383789</v>
      </c>
      <c r="M34" s="18">
        <v>4.1130328178405762</v>
      </c>
      <c r="N34" s="18">
        <v>13.37246036529541</v>
      </c>
      <c r="O34" s="18">
        <v>6.7179398536682129</v>
      </c>
      <c r="P34" s="18">
        <v>5.3787398338317871</v>
      </c>
      <c r="Q34" s="18">
        <v>9.4755878448486328</v>
      </c>
      <c r="R34" s="18">
        <v>5.3979558944702148</v>
      </c>
    </row>
    <row r="35" spans="1:18" x14ac:dyDescent="0.25">
      <c r="A35">
        <v>1991</v>
      </c>
      <c r="B35" s="17">
        <v>3.7426900863647461</v>
      </c>
      <c r="C35" s="18">
        <v>3.2226800918579102</v>
      </c>
      <c r="D35" s="18">
        <v>3.3343479633331299</v>
      </c>
      <c r="E35" s="18">
        <v>3.2085518836975102</v>
      </c>
      <c r="F35" s="18">
        <v>2.3679599761962891</v>
      </c>
      <c r="G35" s="18">
        <v>3.2169349193572998</v>
      </c>
      <c r="H35" s="18">
        <v>19.47285079956055</v>
      </c>
      <c r="I35" s="18">
        <v>6.3000001907348633</v>
      </c>
      <c r="J35" s="18">
        <v>3.2401120662689209</v>
      </c>
      <c r="K35" s="18">
        <v>3.1333329677581792</v>
      </c>
      <c r="L35" s="18">
        <v>1.670145988464355</v>
      </c>
      <c r="M35" s="18">
        <v>3.4206829071044922</v>
      </c>
      <c r="N35" s="18">
        <v>10.926230430603029</v>
      </c>
      <c r="O35" s="18">
        <v>5.9353270530700684</v>
      </c>
      <c r="P35" s="18">
        <v>5.879392147064209</v>
      </c>
      <c r="Q35" s="18">
        <v>5.8539810180664063</v>
      </c>
      <c r="R35" s="18">
        <v>4.2349638938903809</v>
      </c>
    </row>
    <row r="36" spans="1:18" x14ac:dyDescent="0.25">
      <c r="A36">
        <v>1992</v>
      </c>
      <c r="B36" s="17">
        <v>4.0586247444152832</v>
      </c>
      <c r="C36" s="18">
        <v>0.98591548204421997</v>
      </c>
      <c r="D36" s="18">
        <v>4.0297632217407227</v>
      </c>
      <c r="E36" s="18">
        <v>2.429913997650146</v>
      </c>
      <c r="F36" s="18">
        <v>2.1019809246063228</v>
      </c>
      <c r="G36" s="18">
        <v>2.3657650947570801</v>
      </c>
      <c r="H36" s="18">
        <v>15.86590003967285</v>
      </c>
      <c r="I36" s="18">
        <v>5.0799617767333984</v>
      </c>
      <c r="J36" s="18">
        <v>1.7270100116729741</v>
      </c>
      <c r="K36" s="18">
        <v>3.1835811138153081</v>
      </c>
      <c r="L36" s="18">
        <v>1.026694059371948</v>
      </c>
      <c r="M36" s="18">
        <v>2.342116117477417</v>
      </c>
      <c r="N36" s="18">
        <v>8.9416666030883789</v>
      </c>
      <c r="O36" s="18">
        <v>5.9257240295410156</v>
      </c>
      <c r="P36" s="18">
        <v>4.0410761833190918</v>
      </c>
      <c r="Q36" s="18">
        <v>3.7326009273529048</v>
      </c>
      <c r="R36" s="18">
        <v>3.0288200378417969</v>
      </c>
    </row>
    <row r="37" spans="1:18" x14ac:dyDescent="0.25">
      <c r="A37">
        <v>1993</v>
      </c>
      <c r="B37" s="17">
        <v>3.6836402416229248</v>
      </c>
      <c r="C37" s="18">
        <v>1.8131099939346309</v>
      </c>
      <c r="D37" s="18">
        <v>3.6258060932159419</v>
      </c>
      <c r="E37" s="18">
        <v>2.7539629936218262</v>
      </c>
      <c r="F37" s="18">
        <v>1.2509850263595581</v>
      </c>
      <c r="G37" s="18">
        <v>2.106009960174561</v>
      </c>
      <c r="H37" s="18">
        <v>14.41448974609375</v>
      </c>
      <c r="I37" s="18">
        <v>4.4762759208679199</v>
      </c>
      <c r="J37" s="18">
        <v>1.284039974212646</v>
      </c>
      <c r="K37" s="18">
        <v>2.5841820240020752</v>
      </c>
      <c r="L37" s="18">
        <v>1.42276394367218</v>
      </c>
      <c r="M37" s="18">
        <v>2.2714889049530029</v>
      </c>
      <c r="N37" s="18">
        <v>6.5019512176513672</v>
      </c>
      <c r="O37" s="18">
        <v>4.5686359405517578</v>
      </c>
      <c r="P37" s="18">
        <v>3.2717969417572021</v>
      </c>
      <c r="Q37" s="18">
        <v>1.5644739866256709</v>
      </c>
      <c r="R37" s="18">
        <v>2.9516570568084721</v>
      </c>
    </row>
    <row r="38" spans="1:18" x14ac:dyDescent="0.25">
      <c r="A38">
        <v>1994</v>
      </c>
      <c r="B38" s="17">
        <v>2.8213167190551758</v>
      </c>
      <c r="C38" s="18">
        <v>1.8949769735336299</v>
      </c>
      <c r="D38" s="18">
        <v>2.9590649604797359</v>
      </c>
      <c r="E38" s="18">
        <v>2.3777990341186519</v>
      </c>
      <c r="F38" s="18">
        <v>1.9943569898605349</v>
      </c>
      <c r="G38" s="18">
        <v>1.6608730554580691</v>
      </c>
      <c r="H38" s="18">
        <v>10.92278957366943</v>
      </c>
      <c r="I38" s="18">
        <v>4.0274209976196289</v>
      </c>
      <c r="J38" s="18">
        <v>0.70620268583297729</v>
      </c>
      <c r="K38" s="18">
        <v>2.8015270233154301</v>
      </c>
      <c r="L38" s="18">
        <v>2.404809951782227</v>
      </c>
      <c r="M38" s="18">
        <v>1.3985550403594971</v>
      </c>
      <c r="N38" s="18">
        <v>5.2143940925598136</v>
      </c>
      <c r="O38" s="18">
        <v>4.718468189239502</v>
      </c>
      <c r="P38" s="18">
        <v>0.85840708017349243</v>
      </c>
      <c r="Q38" s="18">
        <v>2.4764499664306641</v>
      </c>
      <c r="R38" s="18">
        <v>2.607441902160645</v>
      </c>
    </row>
    <row r="39" spans="1:18" x14ac:dyDescent="0.25">
      <c r="A39">
        <v>1995</v>
      </c>
      <c r="B39" s="17">
        <v>1.62601625919342</v>
      </c>
      <c r="C39" s="18">
        <v>4.6381359100341797</v>
      </c>
      <c r="D39" s="18">
        <v>2.250099897384644</v>
      </c>
      <c r="E39" s="18">
        <v>1.4668140411376951</v>
      </c>
      <c r="F39" s="18">
        <v>2.0984361171722412</v>
      </c>
      <c r="G39" s="18">
        <v>1.77811598777771</v>
      </c>
      <c r="H39" s="18">
        <v>8.9370565414428711</v>
      </c>
      <c r="I39" s="18">
        <v>5.2443709373474121</v>
      </c>
      <c r="J39" s="18">
        <v>-0.12673200666904449</v>
      </c>
      <c r="K39" s="18">
        <v>2.0952820777893071</v>
      </c>
      <c r="L39" s="18">
        <v>3.7398369312286381</v>
      </c>
      <c r="M39" s="18">
        <v>2.4564049243927002</v>
      </c>
      <c r="N39" s="18">
        <v>4.1231479644775391</v>
      </c>
      <c r="O39" s="18">
        <v>4.6747531890869141</v>
      </c>
      <c r="P39" s="18">
        <v>1.798719048500061</v>
      </c>
      <c r="Q39" s="18">
        <v>3.4109959602355961</v>
      </c>
      <c r="R39" s="18">
        <v>2.805419921875</v>
      </c>
    </row>
    <row r="40" spans="1:18" x14ac:dyDescent="0.25">
      <c r="A40">
        <v>1996</v>
      </c>
      <c r="B40" s="17">
        <v>1.299999952316284</v>
      </c>
      <c r="C40" s="18">
        <v>2.6124200820922852</v>
      </c>
      <c r="D40" s="18">
        <v>1.8435570001602171</v>
      </c>
      <c r="E40" s="18">
        <v>2.058918952941895</v>
      </c>
      <c r="F40" s="18">
        <v>2.1113600730896001</v>
      </c>
      <c r="G40" s="18">
        <v>2.0083620548248291</v>
      </c>
      <c r="H40" s="18">
        <v>8.1962194442749023</v>
      </c>
      <c r="I40" s="18">
        <v>3.9745240211486821</v>
      </c>
      <c r="J40" s="18">
        <v>0.135352298617363</v>
      </c>
      <c r="K40" s="18">
        <v>2.0166668891906738</v>
      </c>
      <c r="L40" s="18">
        <v>2.2988510131835942</v>
      </c>
      <c r="M40" s="18">
        <v>1.258694052696228</v>
      </c>
      <c r="N40" s="18">
        <v>3.120697021484375</v>
      </c>
      <c r="O40" s="18">
        <v>3.5585060119628911</v>
      </c>
      <c r="P40" s="18">
        <v>0.8188244104385376</v>
      </c>
      <c r="Q40" s="18">
        <v>2.448705911636353</v>
      </c>
      <c r="R40" s="18">
        <v>2.931204080581665</v>
      </c>
    </row>
    <row r="41" spans="1:18" x14ac:dyDescent="0.25">
      <c r="A41">
        <v>1997</v>
      </c>
      <c r="B41" s="17">
        <v>1.7769002914428711</v>
      </c>
      <c r="C41" s="18">
        <v>0.25041741132736212</v>
      </c>
      <c r="D41" s="18">
        <v>1.325000047683716</v>
      </c>
      <c r="E41" s="18">
        <v>1.627459049224854</v>
      </c>
      <c r="F41" s="18">
        <v>2.1957910060882568</v>
      </c>
      <c r="G41" s="18">
        <v>1.200322031974792</v>
      </c>
      <c r="H41" s="18">
        <v>5.5389728546142578</v>
      </c>
      <c r="I41" s="18">
        <v>2.0431060791015621</v>
      </c>
      <c r="J41" s="18">
        <v>1.731858015060425</v>
      </c>
      <c r="K41" s="18">
        <v>2.1565101146697998</v>
      </c>
      <c r="L41" s="18">
        <v>1.174667954444885</v>
      </c>
      <c r="M41" s="18">
        <v>2.5807409286499019</v>
      </c>
      <c r="N41" s="18">
        <v>2.1616120338439941</v>
      </c>
      <c r="O41" s="18">
        <v>1.970708012580872</v>
      </c>
      <c r="P41" s="18">
        <v>0.52150118350982666</v>
      </c>
      <c r="Q41" s="18">
        <v>3.1323330402374272</v>
      </c>
      <c r="R41" s="18">
        <v>2.337690114974976</v>
      </c>
    </row>
    <row r="42" spans="1:18" x14ac:dyDescent="0.25">
      <c r="A42">
        <v>1998</v>
      </c>
      <c r="B42" s="17">
        <v>0.87293887138366699</v>
      </c>
      <c r="C42" s="18">
        <v>0.85345542430877686</v>
      </c>
      <c r="D42" s="18">
        <v>0.90467971563339233</v>
      </c>
      <c r="E42" s="18">
        <v>0.95362257957458496</v>
      </c>
      <c r="F42" s="18">
        <v>1.853178024291992</v>
      </c>
      <c r="G42" s="18">
        <v>0.67259711027145386</v>
      </c>
      <c r="H42" s="18">
        <v>4.7662258148193359</v>
      </c>
      <c r="I42" s="18">
        <v>1.962939977645874</v>
      </c>
      <c r="J42" s="18">
        <v>0.65603721141815186</v>
      </c>
      <c r="K42" s="18">
        <v>1.9830479621887209</v>
      </c>
      <c r="L42" s="18">
        <v>1.287228941917419</v>
      </c>
      <c r="M42" s="18">
        <v>2.2556860446929932</v>
      </c>
      <c r="N42" s="18">
        <v>2.716439962387085</v>
      </c>
      <c r="O42" s="18">
        <v>1.8335369825363159</v>
      </c>
      <c r="P42" s="18">
        <v>1.700969971716404E-2</v>
      </c>
      <c r="Q42" s="18">
        <v>3.4181699752807622</v>
      </c>
      <c r="R42" s="18">
        <v>1.552278995513916</v>
      </c>
    </row>
    <row r="43" spans="1:18" x14ac:dyDescent="0.25">
      <c r="A43">
        <v>1999</v>
      </c>
      <c r="B43" s="17">
        <v>0.67307692766189575</v>
      </c>
      <c r="C43" s="18">
        <v>1.4654279947280879</v>
      </c>
      <c r="D43" s="18">
        <v>0.56239300966262817</v>
      </c>
      <c r="E43" s="18">
        <v>1.1192419528961179</v>
      </c>
      <c r="F43" s="18">
        <v>2.4786849021911621</v>
      </c>
      <c r="G43" s="18">
        <v>0.5</v>
      </c>
      <c r="H43" s="18">
        <v>2.6367828845977779</v>
      </c>
      <c r="I43" s="18">
        <v>1.65562903881073</v>
      </c>
      <c r="J43" s="18">
        <v>-0.33825591206550598</v>
      </c>
      <c r="K43" s="18">
        <v>2.2110710144042969</v>
      </c>
      <c r="L43" s="18">
        <v>-0.1245950981974602</v>
      </c>
      <c r="M43" s="18">
        <v>2.3331389427185059</v>
      </c>
      <c r="N43" s="18">
        <v>2.303885936737061</v>
      </c>
      <c r="O43" s="18">
        <v>2.3106720447540279</v>
      </c>
      <c r="P43" s="18">
        <v>0.82482987642288208</v>
      </c>
      <c r="Q43" s="18">
        <v>1.5553849935531621</v>
      </c>
      <c r="R43" s="18">
        <v>2.188026905059814</v>
      </c>
    </row>
    <row r="44" spans="1:18" x14ac:dyDescent="0.25">
      <c r="A44">
        <v>2000</v>
      </c>
      <c r="B44" s="17"/>
      <c r="C44" s="18">
        <v>4.4751830101013184</v>
      </c>
      <c r="D44" s="18">
        <v>2.3504619598388672</v>
      </c>
      <c r="E44" s="18">
        <v>2.5462460517883301</v>
      </c>
      <c r="F44" s="18">
        <v>2.924778938293457</v>
      </c>
      <c r="G44" s="18">
        <v>1.6915420293807979</v>
      </c>
      <c r="H44" s="18">
        <v>3.1501250267028809</v>
      </c>
      <c r="I44" s="18">
        <v>2.5376870632171631</v>
      </c>
      <c r="J44" s="18">
        <v>-0.67052978277206421</v>
      </c>
      <c r="K44" s="18">
        <v>2.5237801074981689</v>
      </c>
      <c r="L44" s="18">
        <v>2.6197609901428218</v>
      </c>
      <c r="M44" s="18">
        <v>3.086067914962769</v>
      </c>
      <c r="N44" s="18">
        <v>2.846720933914185</v>
      </c>
      <c r="O44" s="18">
        <v>3.4326140880584721</v>
      </c>
      <c r="P44" s="18">
        <v>1.5433919429779051</v>
      </c>
      <c r="Q44" s="18">
        <v>2.9270999431610112</v>
      </c>
      <c r="R44" s="18">
        <v>3.3768570423126221</v>
      </c>
    </row>
    <row r="45" spans="1:18" x14ac:dyDescent="0.25">
      <c r="A45">
        <v>2001</v>
      </c>
      <c r="B45" s="17"/>
      <c r="C45" s="18">
        <v>4.3808407783508301</v>
      </c>
      <c r="D45" s="18">
        <v>2.6599619388580318</v>
      </c>
      <c r="E45" s="18">
        <v>2.4712729454040532</v>
      </c>
      <c r="F45" s="18">
        <v>2.3499999046325679</v>
      </c>
      <c r="G45" s="18">
        <v>1.6634049415588379</v>
      </c>
      <c r="H45" s="18">
        <v>3.3749959468841548</v>
      </c>
      <c r="I45" s="18">
        <v>2.7851660251617432</v>
      </c>
      <c r="J45" s="18">
        <v>-0.73339438438415527</v>
      </c>
      <c r="K45" s="18">
        <v>4.5342311859130859</v>
      </c>
      <c r="L45" s="18">
        <v>2.6258211135864258</v>
      </c>
      <c r="M45" s="18">
        <v>3.0173780918121338</v>
      </c>
      <c r="N45" s="18">
        <v>4.3947567939758301</v>
      </c>
      <c r="O45" s="18">
        <v>3.591100931167603</v>
      </c>
      <c r="P45" s="18">
        <v>0.9883720874786377</v>
      </c>
      <c r="Q45" s="18">
        <v>1.8208520412445071</v>
      </c>
      <c r="R45" s="18">
        <v>2.826170921325684</v>
      </c>
    </row>
    <row r="46" spans="1:18" x14ac:dyDescent="0.25">
      <c r="A46">
        <v>2002</v>
      </c>
      <c r="B46" s="17"/>
      <c r="C46" s="18">
        <v>3.0031709671020508</v>
      </c>
      <c r="D46" s="18">
        <v>1.8102120161056521</v>
      </c>
      <c r="E46" s="18">
        <v>1.64345395565033</v>
      </c>
      <c r="F46" s="18">
        <v>2.426315069198608</v>
      </c>
      <c r="G46" s="18">
        <v>1.924927949905396</v>
      </c>
      <c r="H46" s="18">
        <v>3.6292281150817871</v>
      </c>
      <c r="I46" s="18">
        <v>2.4653201103210449</v>
      </c>
      <c r="J46" s="18">
        <v>-0.91512048244476318</v>
      </c>
      <c r="K46" s="18">
        <v>3.467067956924438</v>
      </c>
      <c r="L46" s="18">
        <v>2.6770908832550049</v>
      </c>
      <c r="M46" s="18">
        <v>1.288146018981934</v>
      </c>
      <c r="N46" s="18">
        <v>3.545052051544189</v>
      </c>
      <c r="O46" s="18">
        <v>3.0667769908905029</v>
      </c>
      <c r="P46" s="18">
        <v>0.64150011539459229</v>
      </c>
      <c r="Q46" s="18">
        <v>1.634457945823669</v>
      </c>
      <c r="R46" s="18">
        <v>1.586032032966614</v>
      </c>
    </row>
    <row r="47" spans="1:18" x14ac:dyDescent="0.25">
      <c r="A47">
        <v>2003</v>
      </c>
      <c r="B47" s="17"/>
      <c r="C47" s="18">
        <v>2.7707350254058838</v>
      </c>
      <c r="D47" s="18">
        <v>1.3634190559387209</v>
      </c>
      <c r="E47" s="18">
        <v>1.591312050819397</v>
      </c>
      <c r="F47" s="18">
        <v>2.0906200408935551</v>
      </c>
      <c r="G47" s="18">
        <v>2.101038932800293</v>
      </c>
      <c r="H47" s="18">
        <v>3.5305569171905522</v>
      </c>
      <c r="I47" s="18">
        <v>2.6725590229034419</v>
      </c>
      <c r="J47" s="18">
        <v>-0.25419420003890991</v>
      </c>
      <c r="K47" s="18">
        <v>2.1146399974822998</v>
      </c>
      <c r="L47" s="18">
        <v>1.7535760402679439</v>
      </c>
      <c r="M47" s="18">
        <v>2.475397109985352</v>
      </c>
      <c r="N47" s="18">
        <v>3.2833330631256099</v>
      </c>
      <c r="O47" s="18">
        <v>3.0334739685058589</v>
      </c>
      <c r="P47" s="18">
        <v>0.62923920154571533</v>
      </c>
      <c r="Q47" s="18">
        <v>2.913631916046143</v>
      </c>
      <c r="R47" s="18">
        <v>2.2700951099395752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4B4D-886D-4782-83C6-EC5975E4B1B1}">
  <dimension ref="A1:R47"/>
  <sheetViews>
    <sheetView topLeftCell="A18" workbookViewId="0">
      <selection activeCell="S29" sqref="S29"/>
    </sheetView>
  </sheetViews>
  <sheetFormatPr defaultRowHeight="15" x14ac:dyDescent="0.25"/>
  <sheetData>
    <row r="1" spans="1:18" ht="18.75" x14ac:dyDescent="0.3">
      <c r="A1" s="1" t="s">
        <v>47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>
        <v>61</v>
      </c>
      <c r="C4" s="18">
        <v>50.400001525878913</v>
      </c>
      <c r="D4" s="18">
        <v>48.700000762939453</v>
      </c>
      <c r="E4" s="18">
        <v>27.10000038146973</v>
      </c>
      <c r="F4" s="18">
        <v>46.099998474121087</v>
      </c>
      <c r="G4" s="18">
        <v>25.70000076293945</v>
      </c>
      <c r="H4" s="18">
        <v>7.9000000953674316</v>
      </c>
      <c r="I4" s="18">
        <v>13.89999961853027</v>
      </c>
      <c r="J4" s="18">
        <v>30.89999961853027</v>
      </c>
      <c r="K4" s="18">
        <v>11.10000038146973</v>
      </c>
      <c r="L4" s="18">
        <v>58</v>
      </c>
      <c r="M4" s="18">
        <v>21.29999923706055</v>
      </c>
      <c r="N4" s="18">
        <v>3.5</v>
      </c>
      <c r="O4" s="18">
        <v>3.9000000953674321</v>
      </c>
      <c r="P4" s="18">
        <v>21.79999923706055</v>
      </c>
      <c r="Q4" s="18">
        <v>24.5</v>
      </c>
      <c r="R4" s="18">
        <v>43.799999237060547</v>
      </c>
    </row>
    <row r="5" spans="1:18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25">
      <c r="A9">
        <v>1965</v>
      </c>
      <c r="B9" s="17">
        <v>58.900001525878913</v>
      </c>
      <c r="C9" s="18">
        <v>48.900001525878913</v>
      </c>
      <c r="D9" s="18">
        <v>47.599998474121087</v>
      </c>
      <c r="E9" s="18">
        <v>28.5</v>
      </c>
      <c r="F9" s="18">
        <v>45.5</v>
      </c>
      <c r="G9" s="18">
        <v>25.79999923706055</v>
      </c>
      <c r="H9" s="18">
        <v>9.8000001907348633</v>
      </c>
      <c r="I9" s="18">
        <v>14.10000038146973</v>
      </c>
      <c r="J9" s="18">
        <v>36.700000762939453</v>
      </c>
      <c r="K9" s="18">
        <v>13.60000038146973</v>
      </c>
      <c r="L9" s="18">
        <v>54.299999237060547</v>
      </c>
      <c r="M9" s="18">
        <v>22.39999961853027</v>
      </c>
      <c r="N9" s="18">
        <v>3.9000000953674321</v>
      </c>
      <c r="O9" s="18">
        <v>4.5999999046325684</v>
      </c>
      <c r="P9" s="18">
        <v>22.29999923706055</v>
      </c>
      <c r="Q9" s="18">
        <v>26.5</v>
      </c>
      <c r="R9" s="18">
        <v>43.799999237060547</v>
      </c>
    </row>
    <row r="10" spans="1:18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25">
      <c r="A14">
        <v>1970</v>
      </c>
      <c r="B14" s="17">
        <v>57</v>
      </c>
      <c r="C14" s="18">
        <v>48.299999237060547</v>
      </c>
      <c r="D14" s="18">
        <v>46.5</v>
      </c>
      <c r="E14" s="18">
        <v>28.70000076293945</v>
      </c>
      <c r="F14" s="18">
        <v>44.5</v>
      </c>
      <c r="G14" s="18">
        <v>26</v>
      </c>
      <c r="H14" s="18">
        <v>10.60000038146973</v>
      </c>
      <c r="I14" s="18">
        <v>17.5</v>
      </c>
      <c r="J14" s="18">
        <v>33</v>
      </c>
      <c r="K14" s="18">
        <v>45.799999237060547</v>
      </c>
      <c r="L14" s="18">
        <v>54.5</v>
      </c>
      <c r="M14" s="18">
        <v>31.10000038146973</v>
      </c>
      <c r="N14" s="18">
        <v>6.8000001907348633</v>
      </c>
      <c r="O14" s="18">
        <v>5.8000001907348633</v>
      </c>
      <c r="P14" s="18">
        <v>38</v>
      </c>
      <c r="Q14" s="18">
        <v>28.89999961853027</v>
      </c>
      <c r="R14" s="18">
        <v>44.400001525878913</v>
      </c>
    </row>
    <row r="15" spans="1:18" x14ac:dyDescent="0.25">
      <c r="A15">
        <v>1971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25">
      <c r="A16">
        <v>1972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25">
      <c r="A17">
        <v>1973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25">
      <c r="A18">
        <v>1974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5">
      <c r="A19">
        <v>1975</v>
      </c>
      <c r="B19" s="17">
        <v>46.799999237060547</v>
      </c>
      <c r="C19" s="18">
        <v>47</v>
      </c>
      <c r="D19" s="18">
        <v>45.599998474121087</v>
      </c>
      <c r="E19" s="18">
        <v>30.29999923706055</v>
      </c>
      <c r="F19" s="18">
        <v>44.900001525878913</v>
      </c>
      <c r="G19" s="18">
        <v>26.79999923706055</v>
      </c>
      <c r="H19" s="18">
        <v>12.89999961853027</v>
      </c>
      <c r="I19" s="18">
        <v>18.60000038146973</v>
      </c>
      <c r="J19" s="18">
        <v>38.099998474121087</v>
      </c>
      <c r="K19" s="18">
        <v>44.299999237060547</v>
      </c>
      <c r="L19" s="18">
        <v>57.099998474121087</v>
      </c>
      <c r="M19" s="18">
        <v>34.799999237060547</v>
      </c>
      <c r="N19" s="18">
        <v>9.6000003814697266</v>
      </c>
      <c r="O19" s="18">
        <v>8.1999998092651367</v>
      </c>
      <c r="P19" s="18">
        <v>36.400001525878913</v>
      </c>
      <c r="Q19" s="18">
        <v>31</v>
      </c>
      <c r="R19" s="18">
        <v>42.599998474121087</v>
      </c>
    </row>
    <row r="20" spans="1:18" x14ac:dyDescent="0.25">
      <c r="A20">
        <v>1976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5">
      <c r="A21">
        <v>1977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25">
      <c r="A22">
        <v>1978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x14ac:dyDescent="0.25">
      <c r="A23">
        <v>1979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25">
      <c r="A24">
        <v>1980</v>
      </c>
      <c r="B24" s="17">
        <v>52.5</v>
      </c>
      <c r="C24" s="18">
        <v>47.5</v>
      </c>
      <c r="D24" s="18">
        <v>61.799999237060547</v>
      </c>
      <c r="E24" s="18">
        <v>31.60000038146973</v>
      </c>
      <c r="F24" s="18">
        <v>43.400001525878913</v>
      </c>
      <c r="G24" s="18">
        <v>34.5</v>
      </c>
      <c r="H24" s="18">
        <v>19.70000076293945</v>
      </c>
      <c r="I24" s="18">
        <v>29.20000076293945</v>
      </c>
      <c r="J24" s="18">
        <v>39.900001525878913</v>
      </c>
      <c r="K24" s="18">
        <v>44.099998474121087</v>
      </c>
      <c r="L24" s="18">
        <v>46.099998474121087</v>
      </c>
      <c r="M24" s="18">
        <v>39.299999237060547</v>
      </c>
      <c r="N24" s="18">
        <v>10.60000038146973</v>
      </c>
      <c r="O24" s="18">
        <v>13.30000019073486</v>
      </c>
      <c r="P24" s="18">
        <v>54.299999237060547</v>
      </c>
      <c r="Q24" s="18">
        <v>32.900001525878913</v>
      </c>
      <c r="R24" s="18">
        <v>62.900001525878913</v>
      </c>
    </row>
    <row r="25" spans="1:18" x14ac:dyDescent="0.25">
      <c r="A25">
        <v>1981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25">
      <c r="A26">
        <v>1982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25">
      <c r="A27">
        <v>1983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5">
      <c r="A28">
        <v>1984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25">
      <c r="A29">
        <v>1985</v>
      </c>
      <c r="B29" s="17">
        <v>58.5</v>
      </c>
      <c r="C29" s="18">
        <v>48.400001525878913</v>
      </c>
      <c r="D29" s="18">
        <v>60</v>
      </c>
      <c r="E29" s="18">
        <v>32.599998474121087</v>
      </c>
      <c r="F29" s="18">
        <v>42.5</v>
      </c>
      <c r="G29" s="18">
        <v>36.299999237060547</v>
      </c>
      <c r="H29" s="18">
        <v>23.70000076293945</v>
      </c>
      <c r="I29" s="18">
        <v>30.29999923706055</v>
      </c>
      <c r="J29" s="18">
        <v>41.900001525878913</v>
      </c>
      <c r="K29" s="18">
        <v>44.700000762939453</v>
      </c>
      <c r="L29" s="18">
        <v>46.599998474121087</v>
      </c>
      <c r="M29" s="18">
        <v>41</v>
      </c>
      <c r="N29" s="18">
        <v>13.69999980926514</v>
      </c>
      <c r="O29" s="18">
        <v>17.60000038146973</v>
      </c>
      <c r="P29" s="18">
        <v>53.599998474121087</v>
      </c>
      <c r="Q29" s="18">
        <v>35.700000762939453</v>
      </c>
      <c r="R29" s="18">
        <v>57.400001525878913</v>
      </c>
    </row>
    <row r="30" spans="1:18" x14ac:dyDescent="0.25">
      <c r="A30">
        <v>1986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25">
      <c r="A31">
        <v>1987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25">
      <c r="A32">
        <v>1988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25">
      <c r="A33">
        <v>1989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5">
      <c r="A34">
        <v>1990</v>
      </c>
      <c r="B34" s="17">
        <v>56.200000762939453</v>
      </c>
      <c r="C34" s="18">
        <v>48.400001525878913</v>
      </c>
      <c r="D34" s="18">
        <v>57.900001525878913</v>
      </c>
      <c r="E34" s="18">
        <v>32.599998474121087</v>
      </c>
      <c r="F34" s="18">
        <v>49.900001525878913</v>
      </c>
      <c r="G34" s="18">
        <v>36.900001525878913</v>
      </c>
      <c r="H34" s="18">
        <v>28.70000076293945</v>
      </c>
      <c r="I34" s="18">
        <v>31.5</v>
      </c>
      <c r="J34" s="18">
        <v>44.5</v>
      </c>
      <c r="K34" s="18">
        <v>45.400001525878913</v>
      </c>
      <c r="L34" s="18">
        <v>24.10000038146973</v>
      </c>
      <c r="M34" s="18">
        <v>69.599998474121094</v>
      </c>
      <c r="N34" s="18">
        <v>14.80000019073486</v>
      </c>
      <c r="O34" s="18">
        <v>25.5</v>
      </c>
      <c r="P34" s="18">
        <v>53.799999237060547</v>
      </c>
      <c r="Q34" s="18">
        <v>38.5</v>
      </c>
      <c r="R34" s="18">
        <v>44.400001525878913</v>
      </c>
    </row>
    <row r="35" spans="1:18" x14ac:dyDescent="0.25">
      <c r="A35">
        <v>1991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x14ac:dyDescent="0.25">
      <c r="A36">
        <v>1992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x14ac:dyDescent="0.25">
      <c r="A37">
        <v>1993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x14ac:dyDescent="0.25">
      <c r="A38">
        <v>1994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A39">
        <v>1995</v>
      </c>
      <c r="B39" s="17"/>
      <c r="C39" s="18">
        <v>48.599998474121087</v>
      </c>
      <c r="D39" s="18">
        <v>55.700000762939453</v>
      </c>
      <c r="E39" s="18">
        <v>30.5</v>
      </c>
      <c r="F39" s="18">
        <v>47</v>
      </c>
      <c r="G39" s="18">
        <v>37.299999237060547</v>
      </c>
      <c r="H39" s="18">
        <v>31.79999923706055</v>
      </c>
      <c r="I39" s="18">
        <v>32.400001525878913</v>
      </c>
      <c r="J39" s="18">
        <v>46.799999237060547</v>
      </c>
      <c r="K39" s="18">
        <v>46.299999237060547</v>
      </c>
      <c r="L39" s="18">
        <v>26.60000038146973</v>
      </c>
      <c r="M39" s="18">
        <v>66.699996948242188</v>
      </c>
      <c r="N39" s="18">
        <v>14.69999980926514</v>
      </c>
      <c r="O39" s="18">
        <v>28.60000038146973</v>
      </c>
      <c r="P39" s="18">
        <v>54.799999237060547</v>
      </c>
      <c r="Q39" s="18">
        <v>39.900001525878913</v>
      </c>
      <c r="R39" s="18">
        <v>44.599998474121087</v>
      </c>
    </row>
    <row r="40" spans="1:18" x14ac:dyDescent="0.25">
      <c r="A40">
        <v>1996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x14ac:dyDescent="0.25">
      <c r="A41">
        <v>1997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x14ac:dyDescent="0.25">
      <c r="A42">
        <v>1998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>
        <v>43.599998474121087</v>
      </c>
      <c r="D44" s="18">
        <v>55</v>
      </c>
      <c r="E44" s="18">
        <v>28</v>
      </c>
      <c r="F44" s="18">
        <v>46.5</v>
      </c>
      <c r="G44" s="18">
        <v>37.299999237060547</v>
      </c>
      <c r="H44" s="18">
        <v>33.799999237060547</v>
      </c>
      <c r="I44" s="18">
        <v>32</v>
      </c>
      <c r="J44" s="18">
        <v>47.900001525878913</v>
      </c>
      <c r="K44" s="18">
        <v>45.400001525878913</v>
      </c>
      <c r="L44" s="18">
        <v>26.29999923706055</v>
      </c>
      <c r="M44" s="18">
        <v>62.5</v>
      </c>
      <c r="N44" s="18">
        <v>14.89999961853027</v>
      </c>
      <c r="O44" s="18">
        <v>30.70000076293945</v>
      </c>
      <c r="P44" s="18">
        <v>55</v>
      </c>
      <c r="Q44" s="18">
        <v>39.099998474121087</v>
      </c>
      <c r="R44" s="18">
        <v>39.599998474121087</v>
      </c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B1A6-1156-470D-986A-1868014E870E}">
  <dimension ref="A1:R47"/>
  <sheetViews>
    <sheetView topLeftCell="A19" workbookViewId="0">
      <selection activeCell="N18" sqref="N18"/>
    </sheetView>
  </sheetViews>
  <sheetFormatPr defaultRowHeight="15" x14ac:dyDescent="0.25"/>
  <sheetData>
    <row r="1" spans="1:18" ht="18.75" x14ac:dyDescent="0.3">
      <c r="A1" s="1" t="s">
        <v>48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25">
      <c r="A9">
        <v>1965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25">
      <c r="A14">
        <v>1970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x14ac:dyDescent="0.25">
      <c r="A15">
        <v>1971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25">
      <c r="A16">
        <v>1972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25">
      <c r="A17">
        <v>1973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25">
      <c r="A18">
        <v>1974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5">
      <c r="A19">
        <v>1975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x14ac:dyDescent="0.25">
      <c r="A20">
        <v>1976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5">
      <c r="A21">
        <v>1977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25">
      <c r="A22">
        <v>1978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x14ac:dyDescent="0.25">
      <c r="A23">
        <v>1979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25">
      <c r="A24">
        <v>1980</v>
      </c>
      <c r="B24" s="17">
        <v>27.017997741699219</v>
      </c>
      <c r="C24" s="18">
        <v>29.695999145507809</v>
      </c>
      <c r="D24" s="18">
        <v>26.642000198364261</v>
      </c>
      <c r="E24" s="18">
        <v>21.87599945068359</v>
      </c>
      <c r="F24" s="18">
        <v>22.217998504638668</v>
      </c>
      <c r="G24" s="18">
        <v>27.23600006103516</v>
      </c>
      <c r="H24" s="18">
        <v>24.00200080871582</v>
      </c>
      <c r="I24" s="18">
        <v>26.728000640869141</v>
      </c>
      <c r="J24" s="18">
        <v>34.986000061035163</v>
      </c>
      <c r="K24" s="18">
        <v>21.840000152587891</v>
      </c>
      <c r="L24" s="18">
        <v>25.521999359130859</v>
      </c>
      <c r="M24" s="18">
        <v>31.593999862670898</v>
      </c>
      <c r="N24" s="18">
        <v>26.48800086975098</v>
      </c>
      <c r="O24" s="18">
        <v>24.568000793457031</v>
      </c>
      <c r="P24" s="18">
        <v>30.963998794555661</v>
      </c>
      <c r="Q24" s="18">
        <v>17.58799934387207</v>
      </c>
      <c r="R24" s="18">
        <v>22.37599945068359</v>
      </c>
    </row>
    <row r="25" spans="1:18" x14ac:dyDescent="0.25">
      <c r="A25">
        <v>1981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25">
      <c r="A26">
        <v>1982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25">
      <c r="A27">
        <v>1983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5">
      <c r="A28">
        <v>1984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25">
      <c r="A29">
        <v>1985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x14ac:dyDescent="0.25">
      <c r="A30">
        <v>1986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25">
      <c r="A31">
        <v>1987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25">
      <c r="A32">
        <v>1988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25">
      <c r="A33">
        <v>1989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5">
      <c r="A34">
        <v>1990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x14ac:dyDescent="0.25">
      <c r="A35">
        <v>1991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x14ac:dyDescent="0.25">
      <c r="A36">
        <v>1992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x14ac:dyDescent="0.25">
      <c r="A37">
        <v>1993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x14ac:dyDescent="0.25">
      <c r="A38">
        <v>1994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A39">
        <v>1995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x14ac:dyDescent="0.25">
      <c r="A40">
        <v>1996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x14ac:dyDescent="0.25">
      <c r="A41">
        <v>1997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x14ac:dyDescent="0.25">
      <c r="A42">
        <v>1998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D14" sqref="D14"/>
    </sheetView>
  </sheetViews>
  <sheetFormatPr defaultRowHeight="15" x14ac:dyDescent="0.25"/>
  <cols>
    <col min="1" max="7" width="30" customWidth="1"/>
  </cols>
  <sheetData>
    <row r="1" spans="1:7" ht="17.25" x14ac:dyDescent="0.3">
      <c r="A1" s="10" t="s">
        <v>31</v>
      </c>
    </row>
    <row r="3" spans="1:7" x14ac:dyDescent="0.25">
      <c r="A3" s="2" t="s">
        <v>23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24</v>
      </c>
      <c r="G3" s="2" t="s">
        <v>36</v>
      </c>
    </row>
    <row r="4" spans="1:7" x14ac:dyDescent="0.25">
      <c r="A4" t="s">
        <v>25</v>
      </c>
      <c r="B4">
        <f>AVERAGE(Dados!B23:B32)</f>
        <v>15808.9</v>
      </c>
      <c r="C4">
        <f>AVERAGE(Dados!S23:S32)</f>
        <v>15802.239759123893</v>
      </c>
      <c r="D4">
        <f t="shared" ref="D4:D9" si="0">B4-C4</f>
        <v>6.6602408761063998</v>
      </c>
      <c r="E4">
        <f t="shared" ref="E4:E9" si="1">D4^2</f>
        <v>44.358808527758541</v>
      </c>
      <c r="F4">
        <f>'Pesos Preditores (V)'!C4</f>
        <v>0.441</v>
      </c>
      <c r="G4">
        <f t="shared" ref="G4:G9" si="2">E4*F4</f>
        <v>19.562234560741516</v>
      </c>
    </row>
    <row r="5" spans="1:7" x14ac:dyDescent="0.25">
      <c r="A5" t="s">
        <v>26</v>
      </c>
      <c r="B5">
        <v>56.777812576293947</v>
      </c>
      <c r="C5">
        <v>56.939</v>
      </c>
      <c r="D5">
        <f t="shared" si="0"/>
        <v>-0.16118742370605332</v>
      </c>
      <c r="E5">
        <f t="shared" si="1"/>
        <v>2.598138556099476E-2</v>
      </c>
      <c r="F5">
        <f>'Pesos Preditores (V)'!C5</f>
        <v>0.13400000000000001</v>
      </c>
      <c r="G5">
        <f t="shared" si="2"/>
        <v>3.4815056651732981E-3</v>
      </c>
    </row>
    <row r="6" spans="1:7" x14ac:dyDescent="0.25">
      <c r="A6" t="s">
        <v>27</v>
      </c>
      <c r="B6">
        <v>2.5947990953922271</v>
      </c>
      <c r="C6">
        <v>3.4950000000000001</v>
      </c>
      <c r="D6">
        <f t="shared" si="0"/>
        <v>-0.90020090460777302</v>
      </c>
      <c r="E6">
        <f t="shared" si="1"/>
        <v>0.81036166865665282</v>
      </c>
      <c r="F6">
        <f>'Pesos Preditores (V)'!C6</f>
        <v>7.1999999999999995E-2</v>
      </c>
      <c r="G6">
        <f t="shared" si="2"/>
        <v>5.8346040143279002E-2</v>
      </c>
    </row>
    <row r="7" spans="1:7" x14ac:dyDescent="0.25">
      <c r="A7" t="s">
        <v>28</v>
      </c>
      <c r="B7">
        <v>34.538487752278648</v>
      </c>
      <c r="C7">
        <v>34.387</v>
      </c>
      <c r="D7">
        <f t="shared" si="0"/>
        <v>0.15148775227864775</v>
      </c>
      <c r="E7">
        <f t="shared" si="1"/>
        <v>2.2948539090436947E-2</v>
      </c>
      <c r="F7">
        <f>'Pesos Preditores (V)'!C7</f>
        <v>1E-3</v>
      </c>
      <c r="G7">
        <f t="shared" si="2"/>
        <v>2.2948539090436948E-5</v>
      </c>
    </row>
    <row r="8" spans="1:7" x14ac:dyDescent="0.25">
      <c r="A8" t="s">
        <v>29</v>
      </c>
      <c r="B8">
        <v>55.5</v>
      </c>
      <c r="C8">
        <v>55.18</v>
      </c>
      <c r="D8">
        <f t="shared" si="0"/>
        <v>0.32000000000000028</v>
      </c>
      <c r="E8">
        <f t="shared" si="1"/>
        <v>0.10240000000000019</v>
      </c>
      <c r="F8">
        <f>'Pesos Preditores (V)'!C8</f>
        <v>0.107</v>
      </c>
      <c r="G8">
        <f t="shared" si="2"/>
        <v>1.095680000000002E-2</v>
      </c>
    </row>
    <row r="9" spans="1:7" x14ac:dyDescent="0.25">
      <c r="A9" t="s">
        <v>30</v>
      </c>
      <c r="B9">
        <v>27.017997741699219</v>
      </c>
      <c r="C9">
        <v>27.033999999999999</v>
      </c>
      <c r="D9">
        <f t="shared" si="0"/>
        <v>-1.600225830078017E-2</v>
      </c>
      <c r="E9">
        <f t="shared" si="1"/>
        <v>2.5607227072488786E-4</v>
      </c>
      <c r="F9">
        <f>'Pesos Preditores (V)'!C9</f>
        <v>0.245</v>
      </c>
      <c r="G9">
        <f t="shared" si="2"/>
        <v>6.2737706327597518E-5</v>
      </c>
    </row>
    <row r="10" spans="1:7" x14ac:dyDescent="0.25">
      <c r="G10">
        <f>SUM(G4:G9)</f>
        <v>19.635104592795383</v>
      </c>
    </row>
    <row r="14" spans="1:7" x14ac:dyDescent="0.25">
      <c r="D14" s="11"/>
    </row>
    <row r="15" spans="1:7" x14ac:dyDescent="0.25">
      <c r="D15" s="11"/>
    </row>
    <row r="16" spans="1:7" x14ac:dyDescent="0.25">
      <c r="D16" s="11"/>
    </row>
    <row r="17" spans="4:4" x14ac:dyDescent="0.25">
      <c r="D17" s="11"/>
    </row>
    <row r="18" spans="4:4" x14ac:dyDescent="0.25">
      <c r="D18" s="11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Pesos Países (W)</vt:lpstr>
      <vt:lpstr>Pesos Preditores (V)</vt:lpstr>
      <vt:lpstr>Dados-Industry</vt:lpstr>
      <vt:lpstr>Dados-Trade</vt:lpstr>
      <vt:lpstr>Dados-Infrate</vt:lpstr>
      <vt:lpstr>Dados-Schooling</vt:lpstr>
      <vt:lpstr>Dados-Invest80</vt:lpstr>
      <vt:lpstr>Match Preditores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Lopes</cp:lastModifiedBy>
  <dcterms:created xsi:type="dcterms:W3CDTF">2025-11-10T16:28:12Z</dcterms:created>
  <dcterms:modified xsi:type="dcterms:W3CDTF">2025-11-12T13:48:27Z</dcterms:modified>
</cp:coreProperties>
</file>