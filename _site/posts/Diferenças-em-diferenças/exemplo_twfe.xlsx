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6f01953baf6c2ab2/Documentos/R/R_projects/economia_no_quarto/APP/posts/Diferenças-em-diferenças/"/>
    </mc:Choice>
  </mc:AlternateContent>
  <xr:revisionPtr revIDLastSave="1" documentId="13_ncr:1_{4F7EDA17-513F-4282-BA82-DF0230EADC4A}" xr6:coauthVersionLast="47" xr6:coauthVersionMax="47" xr10:uidLastSave="{76CCF0BB-CFC1-4C2E-B61D-0A282EDB43C8}"/>
  <bookViews>
    <workbookView xWindow="-120" yWindow="-120" windowWidth="20730" windowHeight="11040" firstSheet="1" activeTab="3" xr2:uid="{00000000-000D-0000-FFFF-FFFF00000000}"/>
  </bookViews>
  <sheets>
    <sheet name="TWFE" sheetId="12" r:id="rId1"/>
    <sheet name="1. Dados" sheetId="1" r:id="rId2"/>
    <sheet name="2. Médias por Grupo" sheetId="2" r:id="rId3"/>
    <sheet name="3. Estimadores 2x2" sheetId="3" r:id="rId4"/>
    <sheet name="4. Pesos" sheetId="4" r:id="rId5"/>
    <sheet name="5. Decomposição Final" sheetId="5" r:id="rId6"/>
  </sheets>
  <definedNames>
    <definedName name="_xlcn.WorksheetConnection_exemplo_twfe.xlsxTabela11" hidden="1">Tabela1[]</definedName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'1. Dados'!$L$4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3" l="1"/>
  <c r="E31" i="3"/>
  <c r="C32" i="3"/>
  <c r="C31" i="3"/>
  <c r="E23" i="3"/>
  <c r="C23" i="3"/>
  <c r="C14" i="3"/>
  <c r="C13" i="3"/>
  <c r="E4" i="3"/>
  <c r="C5" i="3"/>
  <c r="G4" i="2"/>
  <c r="E14" i="3" s="1"/>
  <c r="G5" i="2"/>
  <c r="G6" i="2"/>
  <c r="F4" i="2"/>
  <c r="F5" i="2"/>
  <c r="F6" i="2"/>
  <c r="E4" i="2"/>
  <c r="E5" i="2"/>
  <c r="E6" i="2"/>
  <c r="D4" i="2"/>
  <c r="D5" i="2"/>
  <c r="D6" i="2"/>
  <c r="C6" i="2"/>
  <c r="C5" i="2"/>
  <c r="C4" i="2"/>
  <c r="B6" i="2"/>
  <c r="E22" i="3" s="1"/>
  <c r="B5" i="2"/>
  <c r="C4" i="3" s="1"/>
  <c r="B4" i="2"/>
  <c r="C22" i="3" l="1"/>
  <c r="E13" i="3"/>
  <c r="E5" i="3"/>
  <c r="B32" i="4" l="1"/>
  <c r="B9" i="4"/>
  <c r="B8" i="4"/>
  <c r="B6" i="4"/>
  <c r="B31" i="4" s="1"/>
  <c r="B5" i="4"/>
  <c r="B14" i="4" s="1"/>
  <c r="B15" i="4" s="1"/>
  <c r="B4" i="4"/>
  <c r="B18" i="4" s="1"/>
  <c r="B19" i="4" s="1"/>
  <c r="B35" i="3"/>
  <c r="B34" i="3"/>
  <c r="B26" i="3"/>
  <c r="B25" i="3"/>
  <c r="B16" i="3"/>
  <c r="B17" i="3"/>
  <c r="B8" i="3"/>
  <c r="B7" i="3"/>
  <c r="B12" i="2"/>
  <c r="B11" i="2"/>
  <c r="H6" i="2"/>
  <c r="H5" i="2"/>
  <c r="H4" i="2"/>
  <c r="B36" i="3" l="1"/>
  <c r="B7" i="5" s="1"/>
  <c r="B27" i="3"/>
  <c r="B6" i="5" s="1"/>
  <c r="B9" i="3"/>
  <c r="B4" i="5" s="1"/>
  <c r="B38" i="4"/>
  <c r="B18" i="3"/>
  <c r="B5" i="5" s="1"/>
  <c r="B33" i="4"/>
  <c r="B22" i="4"/>
  <c r="B30" i="4"/>
  <c r="B37" i="4" s="1"/>
  <c r="B26" i="4" l="1"/>
  <c r="B40" i="4" s="1"/>
  <c r="B23" i="4"/>
  <c r="B39" i="4" s="1"/>
  <c r="B41" i="4" l="1"/>
  <c r="B45" i="4" l="1"/>
  <c r="B46" i="4"/>
  <c r="C5" i="5" s="1"/>
  <c r="D5" i="5" s="1"/>
  <c r="B47" i="4"/>
  <c r="C6" i="5" s="1"/>
  <c r="D6" i="5" s="1"/>
  <c r="B48" i="4"/>
  <c r="C7" i="5" s="1"/>
  <c r="D7" i="5" s="1"/>
  <c r="C4" i="5" l="1"/>
  <c r="D4" i="5" s="1"/>
  <c r="D9" i="5" s="1"/>
  <c r="B49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5FDAD4-3839-48DB-86F6-2FE63A44243A}" name="WorksheetConnection_exemplo_twfe.xlsx!Tabela1" type="102" refreshedVersion="8" minRefreshableVersion="5">
    <extLst>
      <ext xmlns:x15="http://schemas.microsoft.com/office/spreadsheetml/2010/11/main" uri="{DE250136-89BD-433C-8126-D09CA5730AF9}">
        <x15:connection id="Tabela1">
          <x15:rangePr sourceName="_xlcn.WorksheetConnection_exemplo_twfe.xlsxTabela11"/>
        </x15:connection>
      </ext>
    </extLst>
  </connection>
</connections>
</file>

<file path=xl/sharedStrings.xml><?xml version="1.0" encoding="utf-8"?>
<sst xmlns="http://schemas.openxmlformats.org/spreadsheetml/2006/main" count="242" uniqueCount="158">
  <si>
    <t>EXEMPLO NUMÉRICO: DECOMPOSIÇÃO DO ESTIMADOR TWFE</t>
  </si>
  <si>
    <t>Estrutura dos Dados</t>
  </si>
  <si>
    <t>Unidade</t>
  </si>
  <si>
    <t>Grupo</t>
  </si>
  <si>
    <t>t=1</t>
  </si>
  <si>
    <t>t=2</t>
  </si>
  <si>
    <t>t=3</t>
  </si>
  <si>
    <t>t=4</t>
  </si>
  <si>
    <t>t=5</t>
  </si>
  <si>
    <t>t=6</t>
  </si>
  <si>
    <t>U1</t>
  </si>
  <si>
    <t>U (Nunca)</t>
  </si>
  <si>
    <t>U2</t>
  </si>
  <si>
    <t>K1</t>
  </si>
  <si>
    <t>K (Trat t=3)</t>
  </si>
  <si>
    <t>K2</t>
  </si>
  <si>
    <t>L1</t>
  </si>
  <si>
    <t>L (Trat t=5)</t>
  </si>
  <si>
    <t>L2</t>
  </si>
  <si>
    <t>Tratamento D_it</t>
  </si>
  <si>
    <t>U</t>
  </si>
  <si>
    <t>K</t>
  </si>
  <si>
    <t>L</t>
  </si>
  <si>
    <t>MÉDIAS POR GRUPO E PERÍODO</t>
  </si>
  <si>
    <t>Média Geral</t>
  </si>
  <si>
    <t>Grupo U:</t>
  </si>
  <si>
    <t>Grupo K:</t>
  </si>
  <si>
    <t>(tratado em 4 de 6 períodos)</t>
  </si>
  <si>
    <t>Grupo L:</t>
  </si>
  <si>
    <t>(tratado em 2 de 6 períodos)</t>
  </si>
  <si>
    <t>ESTIMADORES DD 2x2</t>
  </si>
  <si>
    <t>PRE (t=1,2):</t>
  </si>
  <si>
    <t>Média K</t>
  </si>
  <si>
    <t>Média U</t>
  </si>
  <si>
    <t>POST (t=3,4,5,6):</t>
  </si>
  <si>
    <t>Diferença K:</t>
  </si>
  <si>
    <t>Diferença U:</t>
  </si>
  <si>
    <t>PRE (t=1,2,3,4):</t>
  </si>
  <si>
    <t>Média L</t>
  </si>
  <si>
    <t>POST (t=5,6):</t>
  </si>
  <si>
    <t>Diferença L:</t>
  </si>
  <si>
    <t>MID (t=3,4):</t>
  </si>
  <si>
    <t>CÁLCULO DOS PESOS</t>
  </si>
  <si>
    <t>Parâmetros:</t>
  </si>
  <si>
    <t>n_U (proporção grupo U):</t>
  </si>
  <si>
    <t>n_K (proporção grupo K):</t>
  </si>
  <si>
    <t>n_L (proporção grupo L):</t>
  </si>
  <si>
    <t>T (total períodos):</t>
  </si>
  <si>
    <t>Variâncias de Tratamento:</t>
  </si>
  <si>
    <t>Tamanhos de Subamostra (ao quadrado):</t>
  </si>
  <si>
    <t>Pesos Não Normalizados:</t>
  </si>
  <si>
    <t>Soma =</t>
  </si>
  <si>
    <t>Pesos Normalizados (somam 1):</t>
  </si>
  <si>
    <t>s_kU =</t>
  </si>
  <si>
    <t>Soma (verificação) =</t>
  </si>
  <si>
    <t>DECOMPOSIÇÃO DO ESTIMADOR TWFE</t>
  </si>
  <si>
    <t>Comparação</t>
  </si>
  <si>
    <t>Estimador 2x2</t>
  </si>
  <si>
    <t>Peso</t>
  </si>
  <si>
    <t>Contribuição</t>
  </si>
  <si>
    <t>K vs U</t>
  </si>
  <si>
    <t>L vs U</t>
  </si>
  <si>
    <t>K vs L (K trat)</t>
  </si>
  <si>
    <t>L vs K (L trat)</t>
  </si>
  <si>
    <t>Interpretação:</t>
  </si>
  <si>
    <t>Cada comparação recebe um peso baseado em:</t>
  </si>
  <si>
    <t xml:space="preserve">  1. Tamanho da subamostra</t>
  </si>
  <si>
    <t xml:space="preserve">  2. Variância do tratamento naquela comparação</t>
  </si>
  <si>
    <t>Note que o estimador 'L vs K (L trat)' usa o grupo K (já tratado) como controle.</t>
  </si>
  <si>
    <t>Se o efeito em K mudar ao longo do tempo, isso contamina essa comparação!</t>
  </si>
  <si>
    <t>1. b_KU (Grupo K vs Grupo U)</t>
  </si>
  <si>
    <t>b^_KU =</t>
  </si>
  <si>
    <t>2. b_LU (Grupo L vs Grupo U)</t>
  </si>
  <si>
    <t>b^_LU =</t>
  </si>
  <si>
    <t>3. b^_KL_K (Grupo K vs Grupo L, K como tratamento)</t>
  </si>
  <si>
    <t>4. b^_KL_L (Grupo K vs Grupo L, L como tratamento)</t>
  </si>
  <si>
    <t>b^_KL_K =</t>
  </si>
  <si>
    <t>b^_KL_L =</t>
  </si>
  <si>
    <t>D_K (prop. períodos tratados K):</t>
  </si>
  <si>
    <t>D_L (prop. períodos tratados L):</t>
  </si>
  <si>
    <t>V_LU =</t>
  </si>
  <si>
    <t>V_KU =</t>
  </si>
  <si>
    <t>n_KU . (1-n_KU) . D_K × (1-D_K)</t>
  </si>
  <si>
    <t>n_KU = n_K/(n_K+n_U) =</t>
  </si>
  <si>
    <t>n_LU × (1-n_LU) × D_L × (1-D_L)</t>
  </si>
  <si>
    <t>n_LU = n_L/(n_L+n_U) =</t>
  </si>
  <si>
    <t>V_KL_K =</t>
  </si>
  <si>
    <t>n_KL . (1-n_KL) . [(D_K-D_L)/(1-D_L)] . [(1-D_K)/(1-D_L)]</t>
  </si>
  <si>
    <t>n_KL = n_K/(n_K+n_L) =</t>
  </si>
  <si>
    <t>V_KL_L =</t>
  </si>
  <si>
    <t>n_KL . (1-n_KL) . [D_L/D_K] . [(D_K-D_L)/D_K]</t>
  </si>
  <si>
    <t>(n_K + n_U)^2 =</t>
  </si>
  <si>
    <t>(n_L + n_U)^2 =</t>
  </si>
  <si>
    <t>[(n_K + n_L)×D_K]^2 =</t>
  </si>
  <si>
    <t>[(n_K + n_L).(1-D_L)]^2 =</t>
  </si>
  <si>
    <t>w_KU =</t>
  </si>
  <si>
    <t>w_LU =</t>
  </si>
  <si>
    <t>w_KL_K =</t>
  </si>
  <si>
    <t>w_KL_L =</t>
  </si>
  <si>
    <t>s_LU =</t>
  </si>
  <si>
    <t>s_KL_K =</t>
  </si>
  <si>
    <t>s_KL_L =</t>
  </si>
  <si>
    <t>b^DD (TWFE) =</t>
  </si>
  <si>
    <t>O estimador TWFE (b^DD) é uma MÉDIA PONDERADA dos 4 estimadores DD 2x2.</t>
  </si>
  <si>
    <t xml:space="preserve">Unidade </t>
  </si>
  <si>
    <t>Tempo (t)</t>
  </si>
  <si>
    <t>D_it</t>
  </si>
  <si>
    <t>y_it</t>
  </si>
  <si>
    <t>a1</t>
  </si>
  <si>
    <t>a2</t>
  </si>
  <si>
    <t>a3</t>
  </si>
  <si>
    <t>a4</t>
  </si>
  <si>
    <t>a5</t>
  </si>
  <si>
    <t>a6</t>
  </si>
  <si>
    <t>t1</t>
  </si>
  <si>
    <t>t2</t>
  </si>
  <si>
    <t>t3</t>
  </si>
  <si>
    <t>t4</t>
  </si>
  <si>
    <t>t5</t>
  </si>
  <si>
    <t>t6</t>
  </si>
  <si>
    <t>RESUMO DOS RESULTADOS</t>
  </si>
  <si>
    <t>Estatística de regressão</t>
  </si>
  <si>
    <t>R múltiplo</t>
  </si>
  <si>
    <t>R-Quadrado</t>
  </si>
  <si>
    <t>R-quadrado ajustado</t>
  </si>
  <si>
    <t>Erro padrão</t>
  </si>
  <si>
    <t>Observações</t>
  </si>
  <si>
    <t>ANOVA</t>
  </si>
  <si>
    <t>Regressão</t>
  </si>
  <si>
    <t>Resíduo</t>
  </si>
  <si>
    <t>Total</t>
  </si>
  <si>
    <t>Interseção</t>
  </si>
  <si>
    <t>gl</t>
  </si>
  <si>
    <t>SQ</t>
  </si>
  <si>
    <t>MQ</t>
  </si>
  <si>
    <t>F</t>
  </si>
  <si>
    <t>F de significação</t>
  </si>
  <si>
    <t>Coeficientes</t>
  </si>
  <si>
    <t>Stat t</t>
  </si>
  <si>
    <t>valor-P</t>
  </si>
  <si>
    <t>95% inferiores</t>
  </si>
  <si>
    <t>95% superiores</t>
  </si>
  <si>
    <t>Inferior 95,0%</t>
  </si>
  <si>
    <t>Superior 95,0%</t>
  </si>
  <si>
    <t>Variável X 1</t>
  </si>
  <si>
    <t>Variável X 2</t>
  </si>
  <si>
    <t>Variável X 3</t>
  </si>
  <si>
    <t>Variável X 4</t>
  </si>
  <si>
    <t>Variável X 5</t>
  </si>
  <si>
    <t>Variável X 6</t>
  </si>
  <si>
    <t>Variável X 7</t>
  </si>
  <si>
    <t>Variável X 8</t>
  </si>
  <si>
    <t>Variável X 9</t>
  </si>
  <si>
    <t>Variável X 10</t>
  </si>
  <si>
    <t>Variável X 11</t>
  </si>
  <si>
    <t>Variável X 12</t>
  </si>
  <si>
    <t>Variável X 13</t>
  </si>
  <si>
    <t>PROPORÇÃO DE PERÍODOS TRATADOS (D_k)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</si>
</sst>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color rgb="FF0000FF"/>
      <name val="Calibri"/>
      <family val="2"/>
    </font>
    <font>
      <b/>
      <sz val="12"/>
      <color rgb="FFFF0000"/>
      <name val="Calibri"/>
      <family val="2"/>
    </font>
    <font>
      <sz val="11"/>
      <name val="Calibri"/>
      <family val="2"/>
      <scheme val="minor"/>
    </font>
    <font>
      <b/>
      <sz val="14"/>
      <color rgb="FFFF0000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rgb="FFCCE5FF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2" borderId="0" xfId="0" applyFont="1" applyFill="1"/>
    <xf numFmtId="0" fontId="9" fillId="3" borderId="0" xfId="0" applyFont="1" applyFill="1"/>
    <xf numFmtId="0" fontId="0" fillId="0" borderId="1" xfId="0" applyBorder="1"/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Continuous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3D50C2-2121-4787-9CC1-8BE90C097D7A}" name="Tabela1" displayName="Tabela1" ref="J5:Y41" totalsRowShown="0" headerRowDxfId="0">
  <tableColumns count="16">
    <tableColumn id="1" xr3:uid="{5E62663F-2CB4-4578-98AB-35F6BB3700B4}" name="Unidade "/>
    <tableColumn id="2" xr3:uid="{E26B42E4-0451-492E-9F39-569B408B41F2}" name="Tempo (t)"/>
    <tableColumn id="3" xr3:uid="{EB8B4EDF-2C15-4870-980A-EB6730A66BA8}" name="y_it"/>
    <tableColumn id="4" xr3:uid="{D6BD7194-2DEF-49FE-ABE4-76D149E4C953}" name="D_it"/>
    <tableColumn id="5" xr3:uid="{B00A757D-7F8A-46C8-A0AC-3B32F468DA3A}" name="a1"/>
    <tableColumn id="6" xr3:uid="{F0D84C37-9384-4466-BCC1-6ED0565DAD18}" name="a2"/>
    <tableColumn id="7" xr3:uid="{66AC3B8C-DA4E-4C02-A021-82EC1EAF47B4}" name="a3"/>
    <tableColumn id="8" xr3:uid="{68FCA6CF-041A-430B-89F5-BDF2B2389834}" name="a4"/>
    <tableColumn id="9" xr3:uid="{E1E178FA-F8B6-48A6-8BD7-DB2A278D98C9}" name="a5"/>
    <tableColumn id="10" xr3:uid="{ECC5AF4F-0971-4AB7-AD37-C73A9DF80944}" name="a6"/>
    <tableColumn id="17" xr3:uid="{14ED7820-EE08-4D04-A6A8-2D77D67C2D22}" name="t1"/>
    <tableColumn id="18" xr3:uid="{8782C3C1-1BFB-443B-A1F1-944162C02AD5}" name="t2"/>
    <tableColumn id="19" xr3:uid="{FC20B593-DCD3-4443-9726-73DAADCF27A2}" name="t3"/>
    <tableColumn id="20" xr3:uid="{4188ED51-2EB4-4CF0-A6F7-975FA9626A2D}" name="t4"/>
    <tableColumn id="21" xr3:uid="{8099DEEF-2963-4278-A5B5-88F585BB2868}" name="t5"/>
    <tableColumn id="22" xr3:uid="{477D17EF-1780-4AFD-9964-A49F7C37546C}" name="t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6FCD-ABBD-4410-8B92-28AD94C8F353}">
  <dimension ref="A1:I30"/>
  <sheetViews>
    <sheetView topLeftCell="A6" workbookViewId="0">
      <selection activeCell="B18" sqref="B18"/>
    </sheetView>
  </sheetViews>
  <sheetFormatPr defaultRowHeight="15" x14ac:dyDescent="0.25"/>
  <sheetData>
    <row r="1" spans="1:9" x14ac:dyDescent="0.25">
      <c r="A1" t="s">
        <v>120</v>
      </c>
    </row>
    <row r="2" spans="1:9" ht="15.75" thickBot="1" x14ac:dyDescent="0.3"/>
    <row r="3" spans="1:9" x14ac:dyDescent="0.25">
      <c r="A3" s="12" t="s">
        <v>121</v>
      </c>
      <c r="B3" s="12"/>
    </row>
    <row r="4" spans="1:9" x14ac:dyDescent="0.25">
      <c r="A4" t="s">
        <v>122</v>
      </c>
      <c r="B4">
        <v>0.99952013134190876</v>
      </c>
    </row>
    <row r="5" spans="1:9" x14ac:dyDescent="0.25">
      <c r="A5" t="s">
        <v>123</v>
      </c>
      <c r="B5">
        <v>0.99904049295774644</v>
      </c>
    </row>
    <row r="6" spans="1:9" x14ac:dyDescent="0.25">
      <c r="A6" t="s">
        <v>124</v>
      </c>
      <c r="B6">
        <v>0.91526738556338005</v>
      </c>
    </row>
    <row r="7" spans="1:9" x14ac:dyDescent="0.25">
      <c r="A7" t="s">
        <v>125</v>
      </c>
      <c r="B7">
        <v>0.75346422166771365</v>
      </c>
    </row>
    <row r="8" spans="1:9" ht="15.75" thickBot="1" x14ac:dyDescent="0.3">
      <c r="A8" s="10" t="s">
        <v>126</v>
      </c>
      <c r="B8" s="10">
        <v>36</v>
      </c>
    </row>
    <row r="10" spans="1:9" ht="15.75" thickBot="1" x14ac:dyDescent="0.3">
      <c r="A10" t="s">
        <v>127</v>
      </c>
    </row>
    <row r="11" spans="1:9" x14ac:dyDescent="0.25">
      <c r="A11" s="11"/>
      <c r="B11" s="11" t="s">
        <v>132</v>
      </c>
      <c r="C11" s="11" t="s">
        <v>133</v>
      </c>
      <c r="D11" s="11" t="s">
        <v>134</v>
      </c>
      <c r="E11" s="11" t="s">
        <v>135</v>
      </c>
      <c r="F11" s="11" t="s">
        <v>136</v>
      </c>
    </row>
    <row r="12" spans="1:9" x14ac:dyDescent="0.25">
      <c r="A12" t="s">
        <v>128</v>
      </c>
      <c r="B12">
        <v>13</v>
      </c>
      <c r="C12">
        <v>14186.375</v>
      </c>
      <c r="D12">
        <v>1091.2596153846155</v>
      </c>
      <c r="E12">
        <v>2082.4036697247698</v>
      </c>
      <c r="F12">
        <v>7.5106089444855248E-31</v>
      </c>
    </row>
    <row r="13" spans="1:9" x14ac:dyDescent="0.25">
      <c r="A13" t="s">
        <v>129</v>
      </c>
      <c r="B13">
        <v>24</v>
      </c>
      <c r="C13">
        <v>13.625000000000005</v>
      </c>
      <c r="D13">
        <v>0.56770833333333359</v>
      </c>
    </row>
    <row r="14" spans="1:9" ht="15.75" thickBot="1" x14ac:dyDescent="0.3">
      <c r="A14" s="10" t="s">
        <v>130</v>
      </c>
      <c r="B14" s="10">
        <v>37</v>
      </c>
      <c r="C14" s="10">
        <v>14200</v>
      </c>
      <c r="D14" s="10"/>
      <c r="E14" s="10"/>
      <c r="F14" s="10"/>
    </row>
    <row r="15" spans="1:9" ht="15.75" thickBot="1" x14ac:dyDescent="0.3"/>
    <row r="16" spans="1:9" x14ac:dyDescent="0.25">
      <c r="A16" s="11"/>
      <c r="B16" s="11" t="s">
        <v>137</v>
      </c>
      <c r="C16" s="11" t="s">
        <v>125</v>
      </c>
      <c r="D16" s="11" t="s">
        <v>138</v>
      </c>
      <c r="E16" s="11" t="s">
        <v>139</v>
      </c>
      <c r="F16" s="11" t="s">
        <v>140</v>
      </c>
      <c r="G16" s="11" t="s">
        <v>141</v>
      </c>
      <c r="H16" s="11" t="s">
        <v>142</v>
      </c>
      <c r="I16" s="11" t="s">
        <v>143</v>
      </c>
    </row>
    <row r="17" spans="1:9" x14ac:dyDescent="0.25">
      <c r="A17" t="s">
        <v>131</v>
      </c>
      <c r="B17">
        <v>0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e">
        <v>#N/A</v>
      </c>
    </row>
    <row r="18" spans="1:9" x14ac:dyDescent="0.25">
      <c r="A18" t="s">
        <v>144</v>
      </c>
      <c r="B18">
        <v>6.374999999999992</v>
      </c>
      <c r="C18">
        <v>0.46140072063229398</v>
      </c>
      <c r="D18">
        <v>13.816623414163342</v>
      </c>
      <c r="E18">
        <v>6.4072271994446706E-13</v>
      </c>
      <c r="F18">
        <v>5.4227157163528661</v>
      </c>
      <c r="G18">
        <v>7.3272842836471179</v>
      </c>
      <c r="H18">
        <v>5.4227157163528661</v>
      </c>
      <c r="I18">
        <v>7.3272842836471179</v>
      </c>
    </row>
    <row r="19" spans="1:9" x14ac:dyDescent="0.25">
      <c r="A19" t="s">
        <v>145</v>
      </c>
      <c r="B19">
        <v>1.2500000000000042</v>
      </c>
      <c r="C19">
        <v>0.53277966052268466</v>
      </c>
      <c r="D19">
        <v>2.3461856610173313</v>
      </c>
      <c r="E19">
        <v>2.7559227432003217E-2</v>
      </c>
      <c r="F19">
        <v>0.15039682498256757</v>
      </c>
      <c r="G19">
        <v>2.3496031750174406</v>
      </c>
      <c r="H19">
        <v>0.15039682498256757</v>
      </c>
      <c r="I19">
        <v>2.3496031750174406</v>
      </c>
    </row>
    <row r="20" spans="1:9" x14ac:dyDescent="0.25">
      <c r="A20" t="s">
        <v>146</v>
      </c>
      <c r="B20">
        <v>1.2499999999999953</v>
      </c>
      <c r="C20">
        <v>0.53277966052268444</v>
      </c>
      <c r="D20">
        <v>2.3461856610173153</v>
      </c>
      <c r="E20">
        <v>2.7559227432004126E-2</v>
      </c>
      <c r="F20">
        <v>0.15039682498255913</v>
      </c>
      <c r="G20">
        <v>2.3496031750174318</v>
      </c>
      <c r="H20">
        <v>0.15039682498255913</v>
      </c>
      <c r="I20">
        <v>2.3496031750174318</v>
      </c>
    </row>
    <row r="21" spans="1:9" x14ac:dyDescent="0.25">
      <c r="A21" t="s">
        <v>147</v>
      </c>
      <c r="B21">
        <v>0.1666666666666658</v>
      </c>
      <c r="C21">
        <v>0.43501277120460646</v>
      </c>
      <c r="D21">
        <v>0.38313051408845838</v>
      </c>
      <c r="E21">
        <v>0.70499559812676416</v>
      </c>
      <c r="F21">
        <v>-0.73115556611234278</v>
      </c>
      <c r="G21">
        <v>1.0644888994456745</v>
      </c>
      <c r="H21">
        <v>-0.73115556611234278</v>
      </c>
      <c r="I21">
        <v>1.0644888994456745</v>
      </c>
    </row>
    <row r="22" spans="1:9" x14ac:dyDescent="0.25">
      <c r="A22" t="s">
        <v>148</v>
      </c>
      <c r="B22">
        <v>0</v>
      </c>
      <c r="C22">
        <v>0</v>
      </c>
      <c r="D22">
        <v>65535</v>
      </c>
      <c r="E22" t="e">
        <v>#NUM!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t="s">
        <v>149</v>
      </c>
      <c r="B23">
        <v>1.6250000000000018</v>
      </c>
      <c r="C23">
        <v>0.46140072063229387</v>
      </c>
      <c r="D23">
        <v>3.5218843996887039</v>
      </c>
      <c r="E23" t="e">
        <v>#NUM!</v>
      </c>
      <c r="F23">
        <v>0.67271571635287608</v>
      </c>
      <c r="G23">
        <v>2.5772842836471277</v>
      </c>
      <c r="H23">
        <v>0.67271571635287608</v>
      </c>
      <c r="I23">
        <v>2.5772842836471277</v>
      </c>
    </row>
    <row r="24" spans="1:9" x14ac:dyDescent="0.25">
      <c r="A24" t="s">
        <v>150</v>
      </c>
      <c r="B24">
        <v>1.4583333333333315</v>
      </c>
      <c r="C24">
        <v>0.46140072063229393</v>
      </c>
      <c r="D24">
        <v>3.1606654869001112</v>
      </c>
      <c r="E24">
        <v>4.2237184824360707E-3</v>
      </c>
      <c r="F24">
        <v>0.50604904968620568</v>
      </c>
      <c r="G24">
        <v>2.4106176169804572</v>
      </c>
      <c r="H24">
        <v>0.50604904968620568</v>
      </c>
      <c r="I24">
        <v>2.4106176169804572</v>
      </c>
    </row>
    <row r="25" spans="1:9" x14ac:dyDescent="0.25">
      <c r="A25" t="s">
        <v>151</v>
      </c>
      <c r="B25">
        <v>10.70833333333333</v>
      </c>
      <c r="C25">
        <v>0.44398305043557029</v>
      </c>
      <c r="D25">
        <v>24.118788595258092</v>
      </c>
      <c r="E25">
        <v>2.4587301662922196E-18</v>
      </c>
      <c r="F25">
        <v>9.7919973541521337</v>
      </c>
      <c r="G25">
        <v>11.624669312514527</v>
      </c>
      <c r="H25">
        <v>9.7919973541521337</v>
      </c>
      <c r="I25">
        <v>11.624669312514527</v>
      </c>
    </row>
    <row r="26" spans="1:9" x14ac:dyDescent="0.25">
      <c r="A26" t="s">
        <v>152</v>
      </c>
      <c r="B26">
        <v>13.041666666666673</v>
      </c>
      <c r="C26">
        <v>0.4439830504355704</v>
      </c>
      <c r="D26">
        <v>29.374244475936912</v>
      </c>
      <c r="E26">
        <v>2.5186092048182323E-20</v>
      </c>
      <c r="F26">
        <v>12.125330687485476</v>
      </c>
      <c r="G26">
        <v>13.95800264584787</v>
      </c>
      <c r="H26">
        <v>12.125330687485476</v>
      </c>
      <c r="I26">
        <v>13.95800264584787</v>
      </c>
    </row>
    <row r="27" spans="1:9" x14ac:dyDescent="0.25">
      <c r="A27" t="s">
        <v>153</v>
      </c>
      <c r="B27">
        <v>14.250000000000002</v>
      </c>
      <c r="C27">
        <v>0.51776876184329712</v>
      </c>
      <c r="D27">
        <v>27.521938460074129</v>
      </c>
      <c r="E27">
        <v>1.1514122246154751E-19</v>
      </c>
      <c r="F27">
        <v>13.181377797175697</v>
      </c>
      <c r="G27">
        <v>15.318622202824306</v>
      </c>
      <c r="H27">
        <v>13.181377797175697</v>
      </c>
      <c r="I27">
        <v>15.318622202824306</v>
      </c>
    </row>
    <row r="28" spans="1:9" x14ac:dyDescent="0.25">
      <c r="A28" t="s">
        <v>154</v>
      </c>
      <c r="B28">
        <v>16.916666666666668</v>
      </c>
      <c r="C28">
        <v>0.51776876184329701</v>
      </c>
      <c r="D28">
        <v>32.67224273330438</v>
      </c>
      <c r="E28">
        <v>2.0803305101871568E-21</v>
      </c>
      <c r="F28">
        <v>15.848044463842363</v>
      </c>
      <c r="G28">
        <v>17.985288869490972</v>
      </c>
      <c r="H28">
        <v>15.848044463842363</v>
      </c>
      <c r="I28">
        <v>17.985288869490972</v>
      </c>
    </row>
    <row r="29" spans="1:9" x14ac:dyDescent="0.25">
      <c r="A29" t="s">
        <v>155</v>
      </c>
      <c r="B29">
        <v>19.125000000000004</v>
      </c>
      <c r="C29">
        <v>0.62157627060979859</v>
      </c>
      <c r="D29">
        <v>30.768549097341484</v>
      </c>
      <c r="E29">
        <v>8.5078687274246679E-21</v>
      </c>
      <c r="F29">
        <v>17.842129629146328</v>
      </c>
      <c r="G29">
        <v>20.407870370853679</v>
      </c>
      <c r="H29">
        <v>17.842129629146328</v>
      </c>
      <c r="I29">
        <v>20.407870370853679</v>
      </c>
    </row>
    <row r="30" spans="1:9" ht="15.75" thickBot="1" x14ac:dyDescent="0.3">
      <c r="A30" s="10" t="s">
        <v>156</v>
      </c>
      <c r="B30" s="10">
        <v>21.458333333333339</v>
      </c>
      <c r="C30" s="10">
        <v>0.62157627060979859</v>
      </c>
      <c r="D30" s="10">
        <v>34.522446154969202</v>
      </c>
      <c r="E30" s="10">
        <v>5.6950524929937117E-22</v>
      </c>
      <c r="F30" s="10">
        <v>20.175462962479664</v>
      </c>
      <c r="G30" s="10">
        <v>22.741203704187015</v>
      </c>
      <c r="H30" s="10">
        <v>20.175462962479664</v>
      </c>
      <c r="I30" s="10">
        <v>22.741203704187015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1"/>
  <sheetViews>
    <sheetView topLeftCell="A3" workbookViewId="0">
      <selection activeCell="C15" sqref="C15"/>
    </sheetView>
  </sheetViews>
  <sheetFormatPr defaultRowHeight="15" x14ac:dyDescent="0.25"/>
  <cols>
    <col min="1" max="9" width="18" customWidth="1"/>
    <col min="10" max="10" width="11.140625" customWidth="1"/>
    <col min="11" max="11" width="11.85546875" customWidth="1"/>
  </cols>
  <sheetData>
    <row r="1" spans="1:25" ht="18.75" x14ac:dyDescent="0.3">
      <c r="A1" s="13" t="s">
        <v>0</v>
      </c>
      <c r="B1" s="14"/>
      <c r="C1" s="14"/>
      <c r="D1" s="14"/>
      <c r="E1" s="14"/>
      <c r="F1" s="14"/>
      <c r="G1" s="14"/>
      <c r="H1" s="14"/>
    </row>
    <row r="3" spans="1:25" ht="15.75" x14ac:dyDescent="0.25">
      <c r="A3" s="2" t="s">
        <v>1</v>
      </c>
    </row>
    <row r="5" spans="1:25" x14ac:dyDescent="0.25">
      <c r="A5" s="8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J5" s="9" t="s">
        <v>104</v>
      </c>
      <c r="K5" s="9" t="s">
        <v>105</v>
      </c>
      <c r="L5" s="9" t="s">
        <v>107</v>
      </c>
      <c r="M5" s="9" t="s">
        <v>106</v>
      </c>
      <c r="N5" s="9" t="s">
        <v>108</v>
      </c>
      <c r="O5" s="9" t="s">
        <v>109</v>
      </c>
      <c r="P5" s="9" t="s">
        <v>110</v>
      </c>
      <c r="Q5" s="9" t="s">
        <v>111</v>
      </c>
      <c r="R5" s="9" t="s">
        <v>112</v>
      </c>
      <c r="S5" s="9" t="s">
        <v>113</v>
      </c>
      <c r="T5" s="9" t="s">
        <v>114</v>
      </c>
      <c r="U5" s="9" t="s">
        <v>115</v>
      </c>
      <c r="V5" s="9" t="s">
        <v>116</v>
      </c>
      <c r="W5" s="9" t="s">
        <v>117</v>
      </c>
      <c r="X5" s="9" t="s">
        <v>118</v>
      </c>
      <c r="Y5" s="9" t="s">
        <v>119</v>
      </c>
    </row>
    <row r="6" spans="1:25" x14ac:dyDescent="0.25">
      <c r="A6" t="s">
        <v>10</v>
      </c>
      <c r="B6" t="s">
        <v>11</v>
      </c>
      <c r="C6">
        <v>12</v>
      </c>
      <c r="D6">
        <v>14</v>
      </c>
      <c r="E6">
        <v>15</v>
      </c>
      <c r="F6">
        <v>19</v>
      </c>
      <c r="G6">
        <v>20</v>
      </c>
      <c r="H6">
        <v>23</v>
      </c>
      <c r="J6" t="s">
        <v>10</v>
      </c>
      <c r="K6">
        <v>1</v>
      </c>
      <c r="L6">
        <v>12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12</v>
      </c>
      <c r="B7" t="s">
        <v>11</v>
      </c>
      <c r="C7">
        <v>12</v>
      </c>
      <c r="D7">
        <v>14</v>
      </c>
      <c r="E7">
        <v>15</v>
      </c>
      <c r="F7">
        <v>19</v>
      </c>
      <c r="G7">
        <v>20</v>
      </c>
      <c r="H7">
        <v>23</v>
      </c>
      <c r="J7" t="s">
        <v>10</v>
      </c>
      <c r="K7">
        <v>2</v>
      </c>
      <c r="L7">
        <v>14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13</v>
      </c>
      <c r="B8" t="s">
        <v>14</v>
      </c>
      <c r="C8">
        <v>12</v>
      </c>
      <c r="D8">
        <v>14</v>
      </c>
      <c r="E8">
        <v>21</v>
      </c>
      <c r="F8">
        <v>23</v>
      </c>
      <c r="G8">
        <v>25</v>
      </c>
      <c r="H8">
        <v>27</v>
      </c>
      <c r="J8" t="s">
        <v>10</v>
      </c>
      <c r="K8">
        <v>3</v>
      </c>
      <c r="L8">
        <v>15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</row>
    <row r="9" spans="1:25" x14ac:dyDescent="0.25">
      <c r="A9" t="s">
        <v>15</v>
      </c>
      <c r="B9" t="s">
        <v>14</v>
      </c>
      <c r="C9">
        <v>11</v>
      </c>
      <c r="D9">
        <v>14</v>
      </c>
      <c r="E9">
        <v>21</v>
      </c>
      <c r="F9">
        <v>23</v>
      </c>
      <c r="G9">
        <v>25</v>
      </c>
      <c r="H9">
        <v>27</v>
      </c>
      <c r="J9" t="s">
        <v>10</v>
      </c>
      <c r="K9">
        <v>4</v>
      </c>
      <c r="L9">
        <v>19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</row>
    <row r="10" spans="1:25" x14ac:dyDescent="0.25">
      <c r="A10" t="s">
        <v>16</v>
      </c>
      <c r="B10" t="s">
        <v>17</v>
      </c>
      <c r="C10">
        <v>12</v>
      </c>
      <c r="D10">
        <v>14</v>
      </c>
      <c r="E10">
        <v>16</v>
      </c>
      <c r="F10">
        <v>18</v>
      </c>
      <c r="G10">
        <v>28</v>
      </c>
      <c r="H10">
        <v>30</v>
      </c>
      <c r="J10" t="s">
        <v>10</v>
      </c>
      <c r="K10">
        <v>5</v>
      </c>
      <c r="L10">
        <v>20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</row>
    <row r="11" spans="1:25" x14ac:dyDescent="0.25">
      <c r="A11" t="s">
        <v>18</v>
      </c>
      <c r="B11" t="s">
        <v>17</v>
      </c>
      <c r="C11">
        <v>11</v>
      </c>
      <c r="D11">
        <v>14</v>
      </c>
      <c r="E11">
        <v>16</v>
      </c>
      <c r="F11">
        <v>18</v>
      </c>
      <c r="G11">
        <v>28</v>
      </c>
      <c r="H11">
        <v>30</v>
      </c>
      <c r="J11" t="s">
        <v>10</v>
      </c>
      <c r="K11">
        <v>6</v>
      </c>
      <c r="L11">
        <v>23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</row>
    <row r="12" spans="1:25" x14ac:dyDescent="0.25">
      <c r="J12" t="s">
        <v>12</v>
      </c>
      <c r="K12">
        <v>1</v>
      </c>
      <c r="L12">
        <v>12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s="3" t="s">
        <v>19</v>
      </c>
      <c r="J13" t="s">
        <v>12</v>
      </c>
      <c r="K13">
        <v>2</v>
      </c>
      <c r="L13">
        <v>14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10</v>
      </c>
      <c r="B14" t="s">
        <v>20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J14" t="s">
        <v>12</v>
      </c>
      <c r="K14">
        <v>3</v>
      </c>
      <c r="L14">
        <v>15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</row>
    <row r="15" spans="1:25" x14ac:dyDescent="0.25">
      <c r="A15" t="s">
        <v>12</v>
      </c>
      <c r="B15" t="s">
        <v>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J15" t="s">
        <v>12</v>
      </c>
      <c r="K15">
        <v>4</v>
      </c>
      <c r="L15">
        <v>19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</row>
    <row r="16" spans="1:25" x14ac:dyDescent="0.25">
      <c r="A16" t="s">
        <v>13</v>
      </c>
      <c r="B16" t="s">
        <v>21</v>
      </c>
      <c r="C16">
        <v>0</v>
      </c>
      <c r="D16">
        <v>0</v>
      </c>
      <c r="E16">
        <v>1</v>
      </c>
      <c r="F16">
        <v>1</v>
      </c>
      <c r="G16">
        <v>1</v>
      </c>
      <c r="H16">
        <v>1</v>
      </c>
      <c r="J16" t="s">
        <v>12</v>
      </c>
      <c r="K16">
        <v>5</v>
      </c>
      <c r="L16">
        <v>20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</row>
    <row r="17" spans="1:25" x14ac:dyDescent="0.25">
      <c r="A17" t="s">
        <v>15</v>
      </c>
      <c r="B17" t="s">
        <v>21</v>
      </c>
      <c r="C17">
        <v>0</v>
      </c>
      <c r="D17">
        <v>0</v>
      </c>
      <c r="E17">
        <v>1</v>
      </c>
      <c r="F17">
        <v>1</v>
      </c>
      <c r="G17">
        <v>1</v>
      </c>
      <c r="H17">
        <v>1</v>
      </c>
      <c r="J17" t="s">
        <v>12</v>
      </c>
      <c r="K17">
        <v>6</v>
      </c>
      <c r="L17">
        <v>23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</row>
    <row r="18" spans="1:25" x14ac:dyDescent="0.25">
      <c r="A18" t="s">
        <v>16</v>
      </c>
      <c r="B18" t="s">
        <v>22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J18" t="s">
        <v>13</v>
      </c>
      <c r="K18">
        <v>1</v>
      </c>
      <c r="L18">
        <v>12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18</v>
      </c>
      <c r="B19" t="s">
        <v>22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J19" t="s">
        <v>13</v>
      </c>
      <c r="K19">
        <v>2</v>
      </c>
      <c r="L19">
        <v>14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</row>
    <row r="20" spans="1:25" x14ac:dyDescent="0.25">
      <c r="J20" t="s">
        <v>13</v>
      </c>
      <c r="K20">
        <v>3</v>
      </c>
      <c r="L20">
        <v>21</v>
      </c>
      <c r="M20">
        <v>1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</row>
    <row r="21" spans="1:25" x14ac:dyDescent="0.25">
      <c r="J21" t="s">
        <v>13</v>
      </c>
      <c r="K21">
        <v>4</v>
      </c>
      <c r="L21">
        <v>23</v>
      </c>
      <c r="M21">
        <v>1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</row>
    <row r="22" spans="1:25" x14ac:dyDescent="0.25">
      <c r="J22" t="s">
        <v>13</v>
      </c>
      <c r="K22">
        <v>5</v>
      </c>
      <c r="L22">
        <v>25</v>
      </c>
      <c r="M22">
        <v>1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</row>
    <row r="23" spans="1:25" x14ac:dyDescent="0.25">
      <c r="J23" t="s">
        <v>13</v>
      </c>
      <c r="K23">
        <v>6</v>
      </c>
      <c r="L23">
        <v>27</v>
      </c>
      <c r="M23">
        <v>1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</row>
    <row r="24" spans="1:25" x14ac:dyDescent="0.25">
      <c r="J24" t="s">
        <v>15</v>
      </c>
      <c r="K24">
        <v>1</v>
      </c>
      <c r="L24">
        <v>11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J25" t="s">
        <v>15</v>
      </c>
      <c r="K25">
        <v>2</v>
      </c>
      <c r="L25">
        <v>14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</row>
    <row r="26" spans="1:25" x14ac:dyDescent="0.25">
      <c r="J26" t="s">
        <v>15</v>
      </c>
      <c r="K26">
        <v>3</v>
      </c>
      <c r="L26">
        <v>21</v>
      </c>
      <c r="M26">
        <v>1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</row>
    <row r="27" spans="1:25" x14ac:dyDescent="0.25">
      <c r="J27" t="s">
        <v>15</v>
      </c>
      <c r="K27">
        <v>4</v>
      </c>
      <c r="L27">
        <v>23</v>
      </c>
      <c r="M27">
        <v>1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</row>
    <row r="28" spans="1:25" x14ac:dyDescent="0.25">
      <c r="J28" t="s">
        <v>15</v>
      </c>
      <c r="K28">
        <v>5</v>
      </c>
      <c r="L28">
        <v>25</v>
      </c>
      <c r="M28">
        <v>1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</row>
    <row r="29" spans="1:25" x14ac:dyDescent="0.25">
      <c r="J29" t="s">
        <v>15</v>
      </c>
      <c r="K29">
        <v>6</v>
      </c>
      <c r="L29">
        <v>27</v>
      </c>
      <c r="M29">
        <v>1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</row>
    <row r="30" spans="1:25" x14ac:dyDescent="0.25">
      <c r="J30" t="s">
        <v>16</v>
      </c>
      <c r="K30">
        <v>1</v>
      </c>
      <c r="L30">
        <v>12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J31" t="s">
        <v>16</v>
      </c>
      <c r="K31">
        <v>2</v>
      </c>
      <c r="L31">
        <v>14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</row>
    <row r="32" spans="1:25" x14ac:dyDescent="0.25">
      <c r="J32" t="s">
        <v>16</v>
      </c>
      <c r="K32">
        <v>3</v>
      </c>
      <c r="L32">
        <v>16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</row>
    <row r="33" spans="10:25" x14ac:dyDescent="0.25">
      <c r="J33" t="s">
        <v>16</v>
      </c>
      <c r="K33">
        <v>4</v>
      </c>
      <c r="L33">
        <v>18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</row>
    <row r="34" spans="10:25" x14ac:dyDescent="0.25">
      <c r="J34" t="s">
        <v>16</v>
      </c>
      <c r="K34">
        <v>5</v>
      </c>
      <c r="L34">
        <v>28</v>
      </c>
      <c r="M34">
        <v>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</row>
    <row r="35" spans="10:25" x14ac:dyDescent="0.25">
      <c r="J35" t="s">
        <v>16</v>
      </c>
      <c r="K35">
        <v>6</v>
      </c>
      <c r="L35">
        <v>30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</row>
    <row r="36" spans="10:25" x14ac:dyDescent="0.25">
      <c r="J36" t="s">
        <v>18</v>
      </c>
      <c r="K36">
        <v>1</v>
      </c>
      <c r="L36">
        <v>11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0:25" x14ac:dyDescent="0.25">
      <c r="J37" t="s">
        <v>18</v>
      </c>
      <c r="K37">
        <v>2</v>
      </c>
      <c r="L37">
        <v>14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</row>
    <row r="38" spans="10:25" x14ac:dyDescent="0.25">
      <c r="J38" t="s">
        <v>18</v>
      </c>
      <c r="K38">
        <v>3</v>
      </c>
      <c r="L38">
        <v>16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</row>
    <row r="39" spans="10:25" x14ac:dyDescent="0.25">
      <c r="J39" t="s">
        <v>18</v>
      </c>
      <c r="K39">
        <v>4</v>
      </c>
      <c r="L39">
        <v>18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</row>
    <row r="40" spans="10:25" x14ac:dyDescent="0.25">
      <c r="J40" t="s">
        <v>18</v>
      </c>
      <c r="K40">
        <v>5</v>
      </c>
      <c r="L40">
        <v>28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</row>
    <row r="41" spans="10:25" x14ac:dyDescent="0.25">
      <c r="J41" t="s">
        <v>18</v>
      </c>
      <c r="K41">
        <v>6</v>
      </c>
      <c r="L41">
        <v>30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</row>
  </sheetData>
  <mergeCells count="1">
    <mergeCell ref="A1:H1"/>
  </mergeCells>
  <phoneticPr fontId="8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selection activeCell="B14" sqref="B14"/>
    </sheetView>
  </sheetViews>
  <sheetFormatPr defaultRowHeight="15" x14ac:dyDescent="0.25"/>
  <cols>
    <col min="1" max="9" width="18" customWidth="1"/>
  </cols>
  <sheetData>
    <row r="1" spans="1:8" ht="15.75" x14ac:dyDescent="0.25">
      <c r="A1" s="2" t="s">
        <v>23</v>
      </c>
    </row>
    <row r="3" spans="1:8" x14ac:dyDescent="0.25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24</v>
      </c>
    </row>
    <row r="4" spans="1:8" x14ac:dyDescent="0.25">
      <c r="A4" t="s">
        <v>11</v>
      </c>
      <c r="B4">
        <f>AVERAGE('1. Dados'!C6:C7)</f>
        <v>12</v>
      </c>
      <c r="C4">
        <f>AVERAGE('1. Dados'!D6:D7)</f>
        <v>14</v>
      </c>
      <c r="D4">
        <f>AVERAGE('1. Dados'!E6:E7)</f>
        <v>15</v>
      </c>
      <c r="E4">
        <f>AVERAGE('1. Dados'!F6:F7)</f>
        <v>19</v>
      </c>
      <c r="F4">
        <f>AVERAGE('1. Dados'!G6:G7)</f>
        <v>20</v>
      </c>
      <c r="G4">
        <f>AVERAGE('1. Dados'!H6:H7)</f>
        <v>23</v>
      </c>
      <c r="H4">
        <f>AVERAGE(B4:G4)</f>
        <v>17.166666666666668</v>
      </c>
    </row>
    <row r="5" spans="1:8" x14ac:dyDescent="0.25">
      <c r="A5" t="s">
        <v>14</v>
      </c>
      <c r="B5">
        <f>AVERAGE('1. Dados'!C8:C9)</f>
        <v>11.5</v>
      </c>
      <c r="C5">
        <f>AVERAGE('1. Dados'!D8:D9)</f>
        <v>14</v>
      </c>
      <c r="D5">
        <f>AVERAGE('1. Dados'!E8:E9)</f>
        <v>21</v>
      </c>
      <c r="E5">
        <f>AVERAGE('1. Dados'!F8:F9)</f>
        <v>23</v>
      </c>
      <c r="F5">
        <f>AVERAGE('1. Dados'!G8:G9)</f>
        <v>25</v>
      </c>
      <c r="G5">
        <f>AVERAGE('1. Dados'!H8:H9)</f>
        <v>27</v>
      </c>
      <c r="H5">
        <f>AVERAGE(B5:G5)</f>
        <v>20.25</v>
      </c>
    </row>
    <row r="6" spans="1:8" x14ac:dyDescent="0.25">
      <c r="A6" t="s">
        <v>17</v>
      </c>
      <c r="B6">
        <f>AVERAGE('1. Dados'!C10:C11)</f>
        <v>11.5</v>
      </c>
      <c r="C6">
        <f>AVERAGE('1. Dados'!D10:D11)</f>
        <v>14</v>
      </c>
      <c r="D6">
        <f>AVERAGE('1. Dados'!E10:E11)</f>
        <v>16</v>
      </c>
      <c r="E6">
        <f>AVERAGE('1. Dados'!F10:F11)</f>
        <v>18</v>
      </c>
      <c r="F6">
        <f>AVERAGE('1. Dados'!G10:G11)</f>
        <v>28</v>
      </c>
      <c r="G6">
        <f>AVERAGE('1. Dados'!H10:H11)</f>
        <v>30</v>
      </c>
      <c r="H6">
        <f>AVERAGE(B6:G6)</f>
        <v>19.583333333333332</v>
      </c>
    </row>
    <row r="9" spans="1:8" x14ac:dyDescent="0.25">
      <c r="A9" s="3" t="s">
        <v>157</v>
      </c>
    </row>
    <row r="10" spans="1:8" x14ac:dyDescent="0.25">
      <c r="A10" t="s">
        <v>25</v>
      </c>
      <c r="B10">
        <v>0</v>
      </c>
    </row>
    <row r="11" spans="1:8" x14ac:dyDescent="0.25">
      <c r="A11" t="s">
        <v>26</v>
      </c>
      <c r="B11">
        <f>4/6</f>
        <v>0.66666666666666663</v>
      </c>
      <c r="C11" t="s">
        <v>27</v>
      </c>
    </row>
    <row r="12" spans="1:8" x14ac:dyDescent="0.25">
      <c r="A12" t="s">
        <v>28</v>
      </c>
      <c r="B12">
        <f>2/6</f>
        <v>0.33333333333333331</v>
      </c>
      <c r="C12" t="s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tabSelected="1" topLeftCell="A18" workbookViewId="0">
      <selection activeCell="E16" sqref="E16"/>
    </sheetView>
  </sheetViews>
  <sheetFormatPr defaultRowHeight="15" x14ac:dyDescent="0.25"/>
  <cols>
    <col min="1" max="9" width="18" customWidth="1"/>
  </cols>
  <sheetData>
    <row r="1" spans="1:5" ht="15.75" x14ac:dyDescent="0.25">
      <c r="A1" s="2" t="s">
        <v>30</v>
      </c>
    </row>
    <row r="3" spans="1:5" x14ac:dyDescent="0.25">
      <c r="A3" s="4" t="s">
        <v>70</v>
      </c>
    </row>
    <row r="4" spans="1:5" x14ac:dyDescent="0.25">
      <c r="A4" t="s">
        <v>31</v>
      </c>
      <c r="B4" t="s">
        <v>32</v>
      </c>
      <c r="C4">
        <f>AVERAGE('2. Médias por Grupo'!B5:C5)</f>
        <v>12.75</v>
      </c>
      <c r="D4" t="s">
        <v>33</v>
      </c>
      <c r="E4">
        <f>AVERAGE('2. Médias por Grupo'!B4:C4)</f>
        <v>13</v>
      </c>
    </row>
    <row r="5" spans="1:5" x14ac:dyDescent="0.25">
      <c r="A5" t="s">
        <v>34</v>
      </c>
      <c r="B5" t="s">
        <v>32</v>
      </c>
      <c r="C5">
        <f>AVERAGE('2. Médias por Grupo'!D5:G5)</f>
        <v>24</v>
      </c>
      <c r="D5" t="s">
        <v>33</v>
      </c>
      <c r="E5">
        <f>AVERAGE('2. Médias por Grupo'!D4:G4)</f>
        <v>19.25</v>
      </c>
    </row>
    <row r="7" spans="1:5" x14ac:dyDescent="0.25">
      <c r="A7" t="s">
        <v>35</v>
      </c>
      <c r="B7">
        <f>C5-C4</f>
        <v>11.25</v>
      </c>
    </row>
    <row r="8" spans="1:5" x14ac:dyDescent="0.25">
      <c r="A8" t="s">
        <v>36</v>
      </c>
      <c r="B8">
        <f>E5-E4</f>
        <v>6.25</v>
      </c>
    </row>
    <row r="9" spans="1:5" ht="15.75" x14ac:dyDescent="0.25">
      <c r="A9" t="s">
        <v>71</v>
      </c>
      <c r="B9" s="5">
        <f>B7-B8</f>
        <v>5</v>
      </c>
    </row>
    <row r="12" spans="1:5" x14ac:dyDescent="0.25">
      <c r="A12" s="4" t="s">
        <v>72</v>
      </c>
    </row>
    <row r="13" spans="1:5" x14ac:dyDescent="0.25">
      <c r="A13" t="s">
        <v>37</v>
      </c>
      <c r="B13" t="s">
        <v>38</v>
      </c>
      <c r="C13">
        <f>AVERAGE('2. Médias por Grupo'!B6:E6)</f>
        <v>14.875</v>
      </c>
      <c r="D13" t="s">
        <v>33</v>
      </c>
      <c r="E13">
        <f>AVERAGE('2. Médias por Grupo'!B4:E4)</f>
        <v>15</v>
      </c>
    </row>
    <row r="14" spans="1:5" x14ac:dyDescent="0.25">
      <c r="A14" t="s">
        <v>39</v>
      </c>
      <c r="B14" t="s">
        <v>38</v>
      </c>
      <c r="C14">
        <f>AVERAGE('2. Médias por Grupo'!F6:G6)</f>
        <v>29</v>
      </c>
      <c r="D14" t="s">
        <v>33</v>
      </c>
      <c r="E14">
        <f>AVERAGE('2. Médias por Grupo'!F4:G4)</f>
        <v>21.5</v>
      </c>
    </row>
    <row r="16" spans="1:5" x14ac:dyDescent="0.25">
      <c r="A16" t="s">
        <v>40</v>
      </c>
      <c r="B16">
        <f>C14-C13</f>
        <v>14.125</v>
      </c>
    </row>
    <row r="17" spans="1:5" x14ac:dyDescent="0.25">
      <c r="A17" t="s">
        <v>36</v>
      </c>
      <c r="B17">
        <f>E14-E13</f>
        <v>6.5</v>
      </c>
    </row>
    <row r="18" spans="1:5" ht="15.75" x14ac:dyDescent="0.25">
      <c r="A18" t="s">
        <v>73</v>
      </c>
      <c r="B18" s="5">
        <f>B16-B17</f>
        <v>7.625</v>
      </c>
    </row>
    <row r="21" spans="1:5" x14ac:dyDescent="0.25">
      <c r="A21" s="4" t="s">
        <v>74</v>
      </c>
    </row>
    <row r="22" spans="1:5" x14ac:dyDescent="0.25">
      <c r="A22" t="s">
        <v>31</v>
      </c>
      <c r="B22" t="s">
        <v>32</v>
      </c>
      <c r="C22">
        <f>AVERAGE('2. Médias por Grupo'!B5:C5)</f>
        <v>12.75</v>
      </c>
      <c r="D22" t="s">
        <v>38</v>
      </c>
      <c r="E22">
        <f>AVERAGE('2. Médias por Grupo'!B6:C6)</f>
        <v>12.75</v>
      </c>
    </row>
    <row r="23" spans="1:5" x14ac:dyDescent="0.25">
      <c r="A23" t="s">
        <v>41</v>
      </c>
      <c r="B23" t="s">
        <v>32</v>
      </c>
      <c r="C23">
        <f>AVERAGE('2. Médias por Grupo'!D5:E5)</f>
        <v>22</v>
      </c>
      <c r="D23" t="s">
        <v>38</v>
      </c>
      <c r="E23">
        <f>AVERAGE('2. Médias por Grupo'!D6:E6)</f>
        <v>17</v>
      </c>
    </row>
    <row r="25" spans="1:5" x14ac:dyDescent="0.25">
      <c r="A25" t="s">
        <v>35</v>
      </c>
      <c r="B25">
        <f>C23-C22</f>
        <v>9.25</v>
      </c>
    </row>
    <row r="26" spans="1:5" x14ac:dyDescent="0.25">
      <c r="A26" t="s">
        <v>40</v>
      </c>
      <c r="B26">
        <f>E23-E22</f>
        <v>4.25</v>
      </c>
    </row>
    <row r="27" spans="1:5" ht="15.75" x14ac:dyDescent="0.25">
      <c r="A27" t="s">
        <v>76</v>
      </c>
      <c r="B27" s="5">
        <f>B25-B26</f>
        <v>5</v>
      </c>
    </row>
    <row r="30" spans="1:5" x14ac:dyDescent="0.25">
      <c r="A30" s="4" t="s">
        <v>75</v>
      </c>
    </row>
    <row r="31" spans="1:5" x14ac:dyDescent="0.25">
      <c r="A31" t="s">
        <v>41</v>
      </c>
      <c r="B31" t="s">
        <v>38</v>
      </c>
      <c r="C31">
        <f>AVERAGE('2. Médias por Grupo'!D6:E6)</f>
        <v>17</v>
      </c>
      <c r="D31" t="s">
        <v>32</v>
      </c>
      <c r="E31">
        <f>AVERAGE('2. Médias por Grupo'!D5:E5)</f>
        <v>22</v>
      </c>
    </row>
    <row r="32" spans="1:5" x14ac:dyDescent="0.25">
      <c r="A32" t="s">
        <v>39</v>
      </c>
      <c r="B32" t="s">
        <v>38</v>
      </c>
      <c r="C32">
        <f>AVERAGE('2. Médias por Grupo'!F6:G6)</f>
        <v>29</v>
      </c>
      <c r="D32" t="s">
        <v>32</v>
      </c>
      <c r="E32">
        <f>AVERAGE('2. Médias por Grupo'!F5:G5)</f>
        <v>26</v>
      </c>
    </row>
    <row r="34" spans="1:2" x14ac:dyDescent="0.25">
      <c r="A34" t="s">
        <v>40</v>
      </c>
      <c r="B34">
        <f>C32-C31</f>
        <v>12</v>
      </c>
    </row>
    <row r="35" spans="1:2" x14ac:dyDescent="0.25">
      <c r="A35" t="s">
        <v>35</v>
      </c>
      <c r="B35">
        <f>E32-E31</f>
        <v>4</v>
      </c>
    </row>
    <row r="36" spans="1:2" ht="15.75" x14ac:dyDescent="0.25">
      <c r="A36" t="s">
        <v>77</v>
      </c>
      <c r="B36" s="5">
        <f>B34-B35</f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9"/>
  <sheetViews>
    <sheetView topLeftCell="A5" workbookViewId="0">
      <selection activeCell="D16" sqref="D16"/>
    </sheetView>
  </sheetViews>
  <sheetFormatPr defaultRowHeight="15" x14ac:dyDescent="0.25"/>
  <cols>
    <col min="1" max="1" width="27.85546875" customWidth="1"/>
    <col min="2" max="9" width="18" customWidth="1"/>
  </cols>
  <sheetData>
    <row r="1" spans="1:2" ht="15.75" x14ac:dyDescent="0.25">
      <c r="A1" s="2" t="s">
        <v>42</v>
      </c>
    </row>
    <row r="3" spans="1:2" x14ac:dyDescent="0.25">
      <c r="A3" s="3" t="s">
        <v>43</v>
      </c>
    </row>
    <row r="4" spans="1:2" x14ac:dyDescent="0.25">
      <c r="A4" t="s">
        <v>44</v>
      </c>
      <c r="B4">
        <f>2/6</f>
        <v>0.33333333333333331</v>
      </c>
    </row>
    <row r="5" spans="1:2" x14ac:dyDescent="0.25">
      <c r="A5" t="s">
        <v>45</v>
      </c>
      <c r="B5">
        <f>2/6</f>
        <v>0.33333333333333331</v>
      </c>
    </row>
    <row r="6" spans="1:2" x14ac:dyDescent="0.25">
      <c r="A6" t="s">
        <v>46</v>
      </c>
      <c r="B6">
        <f>2/6</f>
        <v>0.33333333333333331</v>
      </c>
    </row>
    <row r="7" spans="1:2" x14ac:dyDescent="0.25">
      <c r="A7" t="s">
        <v>47</v>
      </c>
      <c r="B7">
        <v>6</v>
      </c>
    </row>
    <row r="8" spans="1:2" x14ac:dyDescent="0.25">
      <c r="A8" t="s">
        <v>78</v>
      </c>
      <c r="B8">
        <f>4/6</f>
        <v>0.66666666666666663</v>
      </c>
    </row>
    <row r="9" spans="1:2" x14ac:dyDescent="0.25">
      <c r="A9" t="s">
        <v>79</v>
      </c>
      <c r="B9">
        <f>2/6</f>
        <v>0.33333333333333331</v>
      </c>
    </row>
    <row r="12" spans="1:2" x14ac:dyDescent="0.25">
      <c r="A12" s="3" t="s">
        <v>48</v>
      </c>
    </row>
    <row r="13" spans="1:2" x14ac:dyDescent="0.25">
      <c r="A13" t="s">
        <v>81</v>
      </c>
      <c r="B13" t="s">
        <v>82</v>
      </c>
    </row>
    <row r="14" spans="1:2" x14ac:dyDescent="0.25">
      <c r="A14" t="s">
        <v>83</v>
      </c>
      <c r="B14">
        <f>B5/(B5+B4)</f>
        <v>0.5</v>
      </c>
    </row>
    <row r="15" spans="1:2" x14ac:dyDescent="0.25">
      <c r="A15" t="s">
        <v>81</v>
      </c>
      <c r="B15">
        <f>B14*(1-B14)*B8*(1-B8)</f>
        <v>5.5555555555555559E-2</v>
      </c>
    </row>
    <row r="17" spans="1:2" x14ac:dyDescent="0.25">
      <c r="A17" t="s">
        <v>80</v>
      </c>
      <c r="B17" t="s">
        <v>84</v>
      </c>
    </row>
    <row r="18" spans="1:2" x14ac:dyDescent="0.25">
      <c r="A18" t="s">
        <v>85</v>
      </c>
      <c r="B18">
        <f>B6/(B6+B4)</f>
        <v>0.5</v>
      </c>
    </row>
    <row r="19" spans="1:2" x14ac:dyDescent="0.25">
      <c r="A19" t="s">
        <v>80</v>
      </c>
      <c r="B19">
        <f>B18*(1-B18)*B9*(1-B9)</f>
        <v>5.5555555555555559E-2</v>
      </c>
    </row>
    <row r="21" spans="1:2" x14ac:dyDescent="0.25">
      <c r="A21" t="s">
        <v>86</v>
      </c>
      <c r="B21" t="s">
        <v>87</v>
      </c>
    </row>
    <row r="22" spans="1:2" x14ac:dyDescent="0.25">
      <c r="A22" t="s">
        <v>88</v>
      </c>
      <c r="B22">
        <f>B5/(B5+B6)</f>
        <v>0.5</v>
      </c>
    </row>
    <row r="23" spans="1:2" x14ac:dyDescent="0.25">
      <c r="A23" t="s">
        <v>86</v>
      </c>
      <c r="B23">
        <f>B22*(1-B22)*((B8-B9)/(1-B9))*((1-B8)/(1-B9))</f>
        <v>6.2499999999999986E-2</v>
      </c>
    </row>
    <row r="25" spans="1:2" x14ac:dyDescent="0.25">
      <c r="A25" t="s">
        <v>89</v>
      </c>
      <c r="B25" t="s">
        <v>90</v>
      </c>
    </row>
    <row r="26" spans="1:2" x14ac:dyDescent="0.25">
      <c r="A26" t="s">
        <v>89</v>
      </c>
      <c r="B26">
        <f>B22*(1-B22)*(B9/B8)*((B8-B9)/B8)</f>
        <v>6.25E-2</v>
      </c>
    </row>
    <row r="29" spans="1:2" x14ac:dyDescent="0.25">
      <c r="A29" s="3" t="s">
        <v>49</v>
      </c>
    </row>
    <row r="30" spans="1:2" x14ac:dyDescent="0.25">
      <c r="A30" t="s">
        <v>91</v>
      </c>
      <c r="B30">
        <f>(B5+B4)^2</f>
        <v>0.44444444444444442</v>
      </c>
    </row>
    <row r="31" spans="1:2" x14ac:dyDescent="0.25">
      <c r="A31" t="s">
        <v>92</v>
      </c>
      <c r="B31">
        <f>(B6+B4)^2</f>
        <v>0.44444444444444442</v>
      </c>
    </row>
    <row r="32" spans="1:2" x14ac:dyDescent="0.25">
      <c r="A32" t="s">
        <v>94</v>
      </c>
      <c r="B32">
        <f>((B5+B6)*(1-B9))^2</f>
        <v>0.19753086419753088</v>
      </c>
    </row>
    <row r="33" spans="1:2" x14ac:dyDescent="0.25">
      <c r="A33" t="s">
        <v>93</v>
      </c>
      <c r="B33">
        <f>((B5+B6)*B8)^2</f>
        <v>0.19753086419753085</v>
      </c>
    </row>
    <row r="36" spans="1:2" x14ac:dyDescent="0.25">
      <c r="A36" s="3" t="s">
        <v>50</v>
      </c>
    </row>
    <row r="37" spans="1:2" x14ac:dyDescent="0.25">
      <c r="A37" t="s">
        <v>95</v>
      </c>
      <c r="B37">
        <f>B30*B15</f>
        <v>2.4691358024691357E-2</v>
      </c>
    </row>
    <row r="38" spans="1:2" x14ac:dyDescent="0.25">
      <c r="A38" t="s">
        <v>96</v>
      </c>
      <c r="B38">
        <f>B31*B19</f>
        <v>2.4691358024691357E-2</v>
      </c>
    </row>
    <row r="39" spans="1:2" x14ac:dyDescent="0.25">
      <c r="A39" t="s">
        <v>97</v>
      </c>
      <c r="B39">
        <f>B32*B23</f>
        <v>1.2345679012345677E-2</v>
      </c>
    </row>
    <row r="40" spans="1:2" x14ac:dyDescent="0.25">
      <c r="A40" t="s">
        <v>98</v>
      </c>
      <c r="B40">
        <f>B33*B26</f>
        <v>1.2345679012345678E-2</v>
      </c>
    </row>
    <row r="41" spans="1:2" x14ac:dyDescent="0.25">
      <c r="A41" t="s">
        <v>51</v>
      </c>
      <c r="B41">
        <f>SUM(B37:B40)</f>
        <v>7.407407407407407E-2</v>
      </c>
    </row>
    <row r="44" spans="1:2" x14ac:dyDescent="0.25">
      <c r="A44" s="3" t="s">
        <v>52</v>
      </c>
    </row>
    <row r="45" spans="1:2" x14ac:dyDescent="0.25">
      <c r="A45" t="s">
        <v>53</v>
      </c>
      <c r="B45">
        <f>B37/B41</f>
        <v>0.33333333333333331</v>
      </c>
    </row>
    <row r="46" spans="1:2" x14ac:dyDescent="0.25">
      <c r="A46" t="s">
        <v>99</v>
      </c>
      <c r="B46">
        <f>B38/B41</f>
        <v>0.33333333333333331</v>
      </c>
    </row>
    <row r="47" spans="1:2" x14ac:dyDescent="0.25">
      <c r="A47" t="s">
        <v>100</v>
      </c>
      <c r="B47">
        <f>B39/B41</f>
        <v>0.16666666666666663</v>
      </c>
    </row>
    <row r="48" spans="1:2" x14ac:dyDescent="0.25">
      <c r="A48" t="s">
        <v>101</v>
      </c>
      <c r="B48">
        <f>B40/B41</f>
        <v>0.16666666666666666</v>
      </c>
    </row>
    <row r="49" spans="1:2" x14ac:dyDescent="0.25">
      <c r="A49" t="s">
        <v>54</v>
      </c>
      <c r="B49" s="3">
        <f>SUM(B45:B48)</f>
        <v>0.99999999999999989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workbookViewId="0">
      <selection activeCell="D7" sqref="D7"/>
    </sheetView>
  </sheetViews>
  <sheetFormatPr defaultRowHeight="15" x14ac:dyDescent="0.25"/>
  <cols>
    <col min="1" max="9" width="18" customWidth="1"/>
  </cols>
  <sheetData>
    <row r="1" spans="1:4" ht="18.75" x14ac:dyDescent="0.3">
      <c r="A1" s="1" t="s">
        <v>55</v>
      </c>
    </row>
    <row r="3" spans="1:4" x14ac:dyDescent="0.25">
      <c r="A3" s="8" t="s">
        <v>56</v>
      </c>
      <c r="B3" s="8" t="s">
        <v>57</v>
      </c>
      <c r="C3" s="8" t="s">
        <v>58</v>
      </c>
      <c r="D3" s="8" t="s">
        <v>59</v>
      </c>
    </row>
    <row r="4" spans="1:4" x14ac:dyDescent="0.25">
      <c r="A4" t="s">
        <v>60</v>
      </c>
      <c r="B4">
        <f>'3. Estimadores 2x2'!B9</f>
        <v>5</v>
      </c>
      <c r="C4">
        <f>'4. Pesos'!B45</f>
        <v>0.33333333333333331</v>
      </c>
      <c r="D4">
        <f>B4*C4</f>
        <v>1.6666666666666665</v>
      </c>
    </row>
    <row r="5" spans="1:4" x14ac:dyDescent="0.25">
      <c r="A5" t="s">
        <v>61</v>
      </c>
      <c r="B5">
        <f>'3. Estimadores 2x2'!B18</f>
        <v>7.625</v>
      </c>
      <c r="C5">
        <f>'4. Pesos'!B46</f>
        <v>0.33333333333333331</v>
      </c>
      <c r="D5">
        <f>B5*C5</f>
        <v>2.5416666666666665</v>
      </c>
    </row>
    <row r="6" spans="1:4" x14ac:dyDescent="0.25">
      <c r="A6" t="s">
        <v>62</v>
      </c>
      <c r="B6">
        <f>'3. Estimadores 2x2'!B27</f>
        <v>5</v>
      </c>
      <c r="C6">
        <f>'4. Pesos'!B47</f>
        <v>0.16666666666666663</v>
      </c>
      <c r="D6">
        <f>B6*C6</f>
        <v>0.83333333333333315</v>
      </c>
    </row>
    <row r="7" spans="1:4" x14ac:dyDescent="0.25">
      <c r="A7" t="s">
        <v>63</v>
      </c>
      <c r="B7">
        <f>'3. Estimadores 2x2'!B36</f>
        <v>8</v>
      </c>
      <c r="C7">
        <f>'4. Pesos'!B48</f>
        <v>0.16666666666666666</v>
      </c>
      <c r="D7">
        <f>B7*C7</f>
        <v>1.3333333333333333</v>
      </c>
    </row>
    <row r="9" spans="1:4" ht="18.75" x14ac:dyDescent="0.3">
      <c r="A9" s="2" t="s">
        <v>102</v>
      </c>
      <c r="C9" s="6"/>
      <c r="D9" s="7">
        <f>SUM(D4:D7)</f>
        <v>6.3749999999999991</v>
      </c>
    </row>
    <row r="12" spans="1:4" x14ac:dyDescent="0.25">
      <c r="A12" s="3" t="s">
        <v>64</v>
      </c>
    </row>
    <row r="13" spans="1:4" x14ac:dyDescent="0.25">
      <c r="A13" t="s">
        <v>103</v>
      </c>
    </row>
    <row r="14" spans="1:4" x14ac:dyDescent="0.25">
      <c r="A14" t="s">
        <v>65</v>
      </c>
    </row>
    <row r="15" spans="1:4" x14ac:dyDescent="0.25">
      <c r="A15" t="s">
        <v>66</v>
      </c>
    </row>
    <row r="16" spans="1:4" x14ac:dyDescent="0.25">
      <c r="A16" t="s">
        <v>67</v>
      </c>
    </row>
    <row r="18" spans="1:1" x14ac:dyDescent="0.25">
      <c r="A18" t="s">
        <v>68</v>
      </c>
    </row>
    <row r="19" spans="1:1" x14ac:dyDescent="0.25">
      <c r="A19" t="s">
        <v>69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17F8F9B9-813A-4CD9-A6EC-BCD053978513}">
  <ds:schemaRefs/>
</ds:datastoreItem>
</file>

<file path=customXml/itemProps2.xml><?xml version="1.0" encoding="utf-8"?>
<ds:datastoreItem xmlns:ds="http://schemas.openxmlformats.org/officeDocument/2006/customXml" ds:itemID="{32A3B4FD-3D62-400C-AE5A-1912945BC5CC}">
  <ds:schemaRefs/>
</ds:datastoreItem>
</file>

<file path=customXml/itemProps3.xml><?xml version="1.0" encoding="utf-8"?>
<ds:datastoreItem xmlns:ds="http://schemas.openxmlformats.org/officeDocument/2006/customXml" ds:itemID="{45A73369-89B7-4B8F-A647-D6703E368050}">
  <ds:schemaRefs/>
</ds:datastoreItem>
</file>

<file path=customXml/itemProps4.xml><?xml version="1.0" encoding="utf-8"?>
<ds:datastoreItem xmlns:ds="http://schemas.openxmlformats.org/officeDocument/2006/customXml" ds:itemID="{53939F01-3D90-4262-9C30-E3EBC1100AB8}">
  <ds:schemaRefs/>
</ds:datastoreItem>
</file>

<file path=customXml/itemProps5.xml><?xml version="1.0" encoding="utf-8"?>
<ds:datastoreItem xmlns:ds="http://schemas.openxmlformats.org/officeDocument/2006/customXml" ds:itemID="{05D9CB3A-2F20-488E-B2A6-BA79956C6DCE}">
  <ds:schemaRefs/>
</ds:datastoreItem>
</file>

<file path=customXml/itemProps6.xml><?xml version="1.0" encoding="utf-8"?>
<ds:datastoreItem xmlns:ds="http://schemas.openxmlformats.org/officeDocument/2006/customXml" ds:itemID="{0E1CDC1C-AB67-46A4-A244-4890ECA61695}">
  <ds:schemaRefs/>
</ds:datastoreItem>
</file>

<file path=customXml/itemProps7.xml><?xml version="1.0" encoding="utf-8"?>
<ds:datastoreItem xmlns:ds="http://schemas.openxmlformats.org/officeDocument/2006/customXml" ds:itemID="{809E3DC7-ADAF-4606-8F03-04BE2EE6036B}">
  <ds:schemaRefs/>
</ds:datastoreItem>
</file>

<file path=customXml/itemProps8.xml><?xml version="1.0" encoding="utf-8"?>
<ds:datastoreItem xmlns:ds="http://schemas.openxmlformats.org/officeDocument/2006/customXml" ds:itemID="{61EABC74-098F-4218-903B-E90456FF3B45}">
  <ds:schemaRefs/>
</ds:datastoreItem>
</file>

<file path=customXml/itemProps9.xml><?xml version="1.0" encoding="utf-8"?>
<ds:datastoreItem xmlns:ds="http://schemas.openxmlformats.org/officeDocument/2006/customXml" ds:itemID="{E038FA5A-0AC9-46D2-B03D-6B61F7E803E0}">
  <ds:schemaRefs/>
</ds:datastoreItem>
</file>

<file path=customXml/itemProps10.xml><?xml version="1.0" encoding="utf-8"?>
<ds:datastoreItem xmlns:ds="http://schemas.openxmlformats.org/officeDocument/2006/customXml" ds:itemID="{68639BE8-167B-4431-89E8-6148AE5C90F4}">
  <ds:schemaRefs/>
</ds:datastoreItem>
</file>

<file path=customXml/itemProps11.xml><?xml version="1.0" encoding="utf-8"?>
<ds:datastoreItem xmlns:ds="http://schemas.openxmlformats.org/officeDocument/2006/customXml" ds:itemID="{1D118B95-142D-4500-A537-FFEF4580A3E5}">
  <ds:schemaRefs/>
</ds:datastoreItem>
</file>

<file path=customXml/itemProps12.xml><?xml version="1.0" encoding="utf-8"?>
<ds:datastoreItem xmlns:ds="http://schemas.openxmlformats.org/officeDocument/2006/customXml" ds:itemID="{FD84D658-58CF-40AC-9D1D-9E41F6C552A6}">
  <ds:schemaRefs/>
</ds:datastoreItem>
</file>

<file path=customXml/itemProps13.xml><?xml version="1.0" encoding="utf-8"?>
<ds:datastoreItem xmlns:ds="http://schemas.openxmlformats.org/officeDocument/2006/customXml" ds:itemID="{A4355B59-87BC-4BE1-B42B-E7E20B880E6A}">
  <ds:schemaRefs/>
</ds:datastoreItem>
</file>

<file path=customXml/itemProps14.xml><?xml version="1.0" encoding="utf-8"?>
<ds:datastoreItem xmlns:ds="http://schemas.openxmlformats.org/officeDocument/2006/customXml" ds:itemID="{F9311D3C-79D5-482B-ABCD-DE5043396279}">
  <ds:schemaRefs/>
</ds:datastoreItem>
</file>

<file path=customXml/itemProps15.xml><?xml version="1.0" encoding="utf-8"?>
<ds:datastoreItem xmlns:ds="http://schemas.openxmlformats.org/officeDocument/2006/customXml" ds:itemID="{DB65D5A4-6E0C-436F-9918-F57D3F33FB5F}">
  <ds:schemaRefs/>
</ds:datastoreItem>
</file>

<file path=customXml/itemProps16.xml><?xml version="1.0" encoding="utf-8"?>
<ds:datastoreItem xmlns:ds="http://schemas.openxmlformats.org/officeDocument/2006/customXml" ds:itemID="{F8F25694-6C0B-4777-B276-D851BC9BA20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TWFE</vt:lpstr>
      <vt:lpstr>1. Dados</vt:lpstr>
      <vt:lpstr>2. Médias por Grupo</vt:lpstr>
      <vt:lpstr>3. Estimadores 2x2</vt:lpstr>
      <vt:lpstr>4. Pesos</vt:lpstr>
      <vt:lpstr>5. Decomposição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Lopes</cp:lastModifiedBy>
  <dcterms:created xsi:type="dcterms:W3CDTF">2025-10-26T18:36:15Z</dcterms:created>
  <dcterms:modified xsi:type="dcterms:W3CDTF">2025-10-29T12:26:49Z</dcterms:modified>
</cp:coreProperties>
</file>